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pivotTables/pivotTable1.xml" ContentType="application/vnd.openxmlformats-officedocument.spreadsheetml.pivotTable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714" codeName="{873B2839-AC87-7CC4-5C0F-16DCB9831742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/Users/akheil/Downloads/Data Bootcamp - Excel/6 Excel Consolidation Exercises /Olympic Dataset Analysis/"/>
    </mc:Choice>
  </mc:AlternateContent>
  <xr:revisionPtr revIDLastSave="0" documentId="13_ncr:1_{A18CEAEF-D535-B641-9421-F102E28EAC84}" xr6:coauthVersionLast="47" xr6:coauthVersionMax="47" xr10:uidLastSave="{00000000-0000-0000-0000-000000000000}"/>
  <bookViews>
    <workbookView xWindow="80" yWindow="500" windowWidth="25440" windowHeight="14300" xr2:uid="{6348B454-252C-6240-B7C9-4A9AA7DEB982}"/>
  </bookViews>
  <sheets>
    <sheet name="olympic_dataset" sheetId="2" r:id="rId1"/>
    <sheet name="Pivot Table" sheetId="3" r:id="rId2"/>
  </sheets>
  <definedNames>
    <definedName name="ExternalData_1" localSheetId="0" hidden="1">olympic_dataset!$A$1:$M$9</definedName>
  </definedNames>
  <calcPr calcId="191029"/>
  <pivotCaches>
    <pivotCache cacheId="4" r:id="rId3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I6" i="2" l="1" a="1"/>
  <c r="I6" i="2" s="1"/>
  <c r="I2" i="2" a="1"/>
  <c r="I2" i="2" s="1"/>
  <c r="I3" i="2" a="1"/>
  <c r="I3" i="2" s="1"/>
  <c r="I4" i="2" a="1"/>
  <c r="I4" i="2"/>
  <c r="I5" i="2" a="1"/>
  <c r="I5" i="2" s="1"/>
  <c r="I7" i="2" a="1"/>
  <c r="I7" i="2" s="1"/>
  <c r="I8" i="2" a="1"/>
  <c r="I8" i="2" s="1"/>
  <c r="I9" i="2" a="1"/>
  <c r="I9" i="2" s="1"/>
  <c r="P10" i="2"/>
  <c r="P8" i="2"/>
  <c r="R4" i="2"/>
  <c r="N15" i="2"/>
  <c r="N14" i="2"/>
  <c r="C16" i="2"/>
  <c r="C17" i="2"/>
  <c r="C18" i="2"/>
  <c r="C19" i="2"/>
  <c r="J10" i="2"/>
  <c r="C12" i="2" s="1"/>
  <c r="K4" i="2" a="1"/>
  <c r="K4" i="2" s="1"/>
  <c r="K3" i="2" a="1"/>
  <c r="K3" i="2" s="1"/>
  <c r="K5" i="2" a="1"/>
  <c r="K5" i="2" s="1"/>
  <c r="K7" i="2" a="1"/>
  <c r="K7" i="2" s="1"/>
  <c r="K6" i="2" a="1"/>
  <c r="K6" i="2" s="1"/>
  <c r="K8" i="2" a="1"/>
  <c r="K8" i="2" s="1"/>
  <c r="K2" i="2" a="1"/>
  <c r="K2" i="2" s="1"/>
  <c r="K9" i="2" a="1"/>
  <c r="K9" i="2" s="1"/>
  <c r="H3" i="2"/>
  <c r="H5" i="2"/>
  <c r="H7" i="2"/>
  <c r="H6" i="2"/>
  <c r="H8" i="2"/>
  <c r="H2" i="2"/>
  <c r="H9" i="2"/>
  <c r="H4" i="2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67409B5E-71C6-0C44-A717-8EF6148BF29A}" keepAlive="1" name="Query - olympic_dataset" description="Connection to the 'olympic_dataset' query in the workbook." type="5" refreshedVersion="8" background="1" saveData="1">
    <dbPr connection="Provider=Microsoft.Mashup.OleDb.1;Data Source=$Workbook$;Location=olympic_dataset;Extended Properties=&quot;&quot;" command="SELECT * FROM [olympic_dataset]"/>
  </connection>
</connection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<sst xmlns="http://schemas.openxmlformats.org/spreadsheetml/2006/main" count="91" uniqueCount="53">
  <si>
    <t>Athlete ID</t>
  </si>
  <si>
    <t>Athlete Name</t>
  </si>
  <si>
    <t>Country</t>
  </si>
  <si>
    <t>Sport</t>
  </si>
  <si>
    <t>Event</t>
  </si>
  <si>
    <t>Medals Won</t>
  </si>
  <si>
    <t>Total Events</t>
  </si>
  <si>
    <t>Medal Percentage</t>
  </si>
  <si>
    <t>Age</t>
  </si>
  <si>
    <t>Gender</t>
  </si>
  <si>
    <t>Olympic Year</t>
  </si>
  <si>
    <t>Usain Bolt</t>
  </si>
  <si>
    <t>Jamaica</t>
  </si>
  <si>
    <t>Athletics</t>
  </si>
  <si>
    <t>100m Sprint</t>
  </si>
  <si>
    <t>Male</t>
  </si>
  <si>
    <t>Michael Phelps</t>
  </si>
  <si>
    <t>USA</t>
  </si>
  <si>
    <t>Swimming</t>
  </si>
  <si>
    <t>200m Butterfly</t>
  </si>
  <si>
    <t>Simone Biles</t>
  </si>
  <si>
    <t>Gymnastics</t>
  </si>
  <si>
    <t>All-around</t>
  </si>
  <si>
    <t>Female</t>
  </si>
  <si>
    <t>Mo Farah</t>
  </si>
  <si>
    <t>UK</t>
  </si>
  <si>
    <t>5000m</t>
  </si>
  <si>
    <t>Katie Ledecky</t>
  </si>
  <si>
    <t>800m Freestyle</t>
  </si>
  <si>
    <t>Andy Murray</t>
  </si>
  <si>
    <t>Tennis</t>
  </si>
  <si>
    <t>Singles</t>
  </si>
  <si>
    <t>Allyson Felix</t>
  </si>
  <si>
    <t>400m</t>
  </si>
  <si>
    <t>Novak Djokovic</t>
  </si>
  <si>
    <t>Serbia</t>
  </si>
  <si>
    <t>Age Group</t>
  </si>
  <si>
    <t>Average Age</t>
  </si>
  <si>
    <t xml:space="preserve">The total number of medals won by athletes from each country </t>
  </si>
  <si>
    <t>No. of medals</t>
  </si>
  <si>
    <t>Number</t>
  </si>
  <si>
    <t>What-If Analysis</t>
  </si>
  <si>
    <r>
      <t xml:space="preserve">Use </t>
    </r>
    <r>
      <rPr>
        <b/>
        <sz val="12"/>
        <color theme="1"/>
        <rFont val="Aptos"/>
      </rPr>
      <t>Goal Seek</t>
    </r>
    <r>
      <rPr>
        <sz val="12"/>
        <color theme="1"/>
        <rFont val="Aptos"/>
      </rPr>
      <t xml:space="preserve"> to determine the number of events Michael Phelps would need to participate in to maintain a 90% Medal Percentage if he won 7 medals.</t>
    </r>
  </si>
  <si>
    <t xml:space="preserve">Athlete </t>
  </si>
  <si>
    <t>Medal %</t>
  </si>
  <si>
    <t>Athlete</t>
  </si>
  <si>
    <t>Total Events participated</t>
  </si>
  <si>
    <t>Lookup Function</t>
  </si>
  <si>
    <t xml:space="preserve">Vlookup </t>
  </si>
  <si>
    <t>Grand Total</t>
  </si>
  <si>
    <t>Country and Sport</t>
  </si>
  <si>
    <t>Total Medals Won</t>
  </si>
  <si>
    <t>Medal Status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</si>
</sst>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2"/>
      <color theme="1"/>
      <name val="Aptos Narrow"/>
      <family val="2"/>
      <scheme val="minor"/>
    </font>
    <font>
      <b/>
      <sz val="12"/>
      <color theme="1"/>
      <name val="Aptos Narrow"/>
      <scheme val="minor"/>
    </font>
    <font>
      <sz val="12"/>
      <color theme="1"/>
      <name val="Aptos Narrow"/>
      <scheme val="minor"/>
    </font>
    <font>
      <sz val="20"/>
      <color rgb="FF0F4761"/>
      <name val="Arial"/>
      <family val="2"/>
    </font>
    <font>
      <sz val="12"/>
      <color theme="1"/>
      <name val="Aptos"/>
    </font>
    <font>
      <b/>
      <sz val="12"/>
      <color theme="1"/>
      <name val="Aptos"/>
    </font>
  </fonts>
  <fills count="2">
    <fill>
      <patternFill patternType="none"/>
    </fill>
    <fill>
      <patternFill patternType="gray125"/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</borders>
  <cellStyleXfs count="1">
    <xf numFmtId="0" fontId="0" fillId="0" borderId="0"/>
  </cellStyleXfs>
  <cellXfs count="24">
    <xf numFmtId="0" fontId="0" fillId="0" borderId="0" xfId="0"/>
    <xf numFmtId="0" fontId="0" fillId="0" borderId="0" xfId="0" applyNumberFormat="1"/>
    <xf numFmtId="0" fontId="0" fillId="0" borderId="0" xfId="0" applyProtection="1">
      <protection locked="0"/>
    </xf>
    <xf numFmtId="2" fontId="0" fillId="0" borderId="0" xfId="0" applyNumberFormat="1" applyProtection="1">
      <protection locked="0"/>
    </xf>
    <xf numFmtId="0" fontId="0" fillId="0" borderId="0" xfId="0" applyProtection="1"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0" borderId="2" xfId="0" applyBorder="1" applyProtection="1">
      <protection locked="0"/>
    </xf>
    <xf numFmtId="0" fontId="0" fillId="0" borderId="3" xfId="0" applyBorder="1" applyProtection="1">
      <protection locked="0"/>
    </xf>
    <xf numFmtId="0" fontId="0" fillId="0" borderId="4" xfId="0" applyBorder="1" applyProtection="1">
      <protection locked="0"/>
    </xf>
    <xf numFmtId="0" fontId="0" fillId="0" borderId="0" xfId="0" applyBorder="1" applyProtection="1">
      <protection locked="0"/>
    </xf>
    <xf numFmtId="0" fontId="0" fillId="0" borderId="5" xfId="0" applyBorder="1" applyProtection="1">
      <protection locked="0"/>
    </xf>
    <xf numFmtId="2" fontId="0" fillId="0" borderId="0" xfId="0" applyNumberFormat="1" applyProtection="1"/>
    <xf numFmtId="0" fontId="0" fillId="0" borderId="0" xfId="0" applyProtection="1"/>
    <xf numFmtId="0" fontId="0" fillId="0" borderId="5" xfId="0" applyBorder="1" applyProtection="1"/>
    <xf numFmtId="0" fontId="0" fillId="0" borderId="6" xfId="0" applyBorder="1" applyProtection="1"/>
    <xf numFmtId="0" fontId="3" fillId="0" borderId="0" xfId="0" applyFont="1" applyAlignment="1" applyProtection="1">
      <alignment vertical="center"/>
      <protection locked="0"/>
    </xf>
    <xf numFmtId="0" fontId="4" fillId="0" borderId="0" xfId="0" applyFont="1" applyAlignment="1" applyProtection="1">
      <alignment horizontal="left" vertical="center" indent="1"/>
      <protection locked="0"/>
    </xf>
    <xf numFmtId="0" fontId="0" fillId="0" borderId="0" xfId="0" applyNumberFormat="1" applyProtection="1">
      <protection locked="0"/>
    </xf>
    <xf numFmtId="0" fontId="1" fillId="0" borderId="0" xfId="0" applyFont="1" applyProtection="1">
      <protection locked="0"/>
    </xf>
    <xf numFmtId="0" fontId="2" fillId="0" borderId="0" xfId="0" applyFont="1" applyProtection="1">
      <protection locked="0"/>
    </xf>
    <xf numFmtId="0" fontId="0" fillId="0" borderId="1" xfId="0" applyBorder="1" applyProtection="1">
      <protection locked="0"/>
    </xf>
    <xf numFmtId="0" fontId="0" fillId="0" borderId="1" xfId="0" applyFont="1" applyBorder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Alignment="1">
      <alignment horizontal="left" indent="1"/>
    </xf>
  </cellXfs>
  <cellStyles count="1">
    <cellStyle name="Normal" xfId="0" builtinId="0"/>
  </cellStyles>
  <dxfs count="48">
    <dxf>
      <fill>
        <patternFill patternType="solid">
          <bgColor rgb="FFFFE78D"/>
        </patternFill>
      </fill>
    </dxf>
    <dxf>
      <protection locked="0" hidden="0"/>
    </dxf>
    <dxf>
      <numFmt numFmtId="0" formatCode="General"/>
      <protection locked="0" hidden="0"/>
    </dxf>
    <dxf>
      <numFmt numFmtId="0" formatCode="General"/>
      <protection locked="0" hidden="0"/>
    </dxf>
    <dxf>
      <protection locked="0" hidden="0"/>
    </dxf>
    <dxf>
      <protection locked="0" hidden="0"/>
    </dxf>
    <dxf>
      <protection locked="0" hidden="0"/>
    </dxf>
    <dxf>
      <numFmt numFmtId="2" formatCode="0.00"/>
      <protection locked="0" hidden="0"/>
    </dxf>
    <dxf>
      <numFmt numFmtId="2" formatCode="0.00"/>
      <protection locked="0" hidden="0"/>
    </dxf>
    <dxf>
      <numFmt numFmtId="0" formatCode="General"/>
      <protection locked="0" hidden="0"/>
    </dxf>
    <dxf>
      <numFmt numFmtId="0" formatCode="General"/>
      <protection locked="0" hidden="0"/>
    </dxf>
    <dxf>
      <numFmt numFmtId="0" formatCode="General"/>
      <protection locked="0" hidden="0"/>
    </dxf>
    <dxf>
      <numFmt numFmtId="0" formatCode="General"/>
      <protection locked="0" hidden="0"/>
    </dxf>
    <dxf>
      <protection locked="0" hidden="0"/>
    </dxf>
    <dxf>
      <numFmt numFmtId="0" formatCode="General"/>
      <protection locked="1" hidden="0"/>
    </dxf>
    <dxf>
      <fill>
        <patternFill patternType="solid">
          <bgColor rgb="FFFFE78D"/>
        </patternFill>
      </fill>
    </dxf>
    <dxf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  <protection locked="1" hidden="0"/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  <protection locked="1" hidden="0"/>
    </dxf>
    <dxf>
      <protection locked="1" hidden="0"/>
    </dxf>
    <dxf>
      <numFmt numFmtId="2" formatCode="0.00"/>
      <protection locked="1" hidden="0"/>
    </dxf>
    <dxf>
      <protection locked="0" hidden="0"/>
    </dxf>
    <dxf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  <protection locked="0" hidden="0"/>
    </dxf>
    <dxf>
      <border diagonalUp="0" diagonalDown="0">
        <left/>
        <right style="thin">
          <color indexed="64"/>
        </right>
        <top style="thin">
          <color indexed="64"/>
        </top>
        <bottom/>
        <vertical/>
        <horizontal/>
      </border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numFmt numFmtId="0" formatCode="General"/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numFmt numFmtId="0" formatCode="General"/>
      <protection locked="0" hidden="0"/>
      <extLst>
        <ext xmlns:xfpb="http://schemas.microsoft.com/office/spreadsheetml/2022/featurepropertybag" uri="{0417FA29-78FA-4A13-93AC-8FF0FAFDF519}">
          <xfpb:DXFComplement i="0"/>
        </ext>
      </extLst>
    </dxf>
    <dxf>
      <numFmt numFmtId="0" formatCode="General"/>
      <protection locked="0" hidden="0"/>
    </dxf>
    <dxf>
      <protection locked="0" hidden="0"/>
    </dxf>
    <dxf>
      <numFmt numFmtId="2" formatCode="0.00"/>
      <protection locked="0" hidden="0"/>
    </dxf>
    <dxf>
      <numFmt numFmtId="0" formatCode="General"/>
      <protection locked="0" hidden="0"/>
    </dxf>
    <dxf>
      <numFmt numFmtId="0" formatCode="General"/>
      <protection locked="0" hidden="0"/>
    </dxf>
    <dxf>
      <numFmt numFmtId="0" formatCode="General"/>
      <protection locked="0" hidden="0"/>
    </dxf>
    <dxf>
      <numFmt numFmtId="0" formatCode="General"/>
      <protection locked="0" hidden="0"/>
    </dxf>
    <dxf>
      <protection locked="0" hidden="0"/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bottom style="thin">
          <color indexed="64"/>
        </bottom>
      </border>
    </dxf>
  </dxfs>
  <tableStyles count="0" defaultTableStyle="TableStyleMedium2" defaultPivotStyle="PivotStyleLight16"/>
  <colors>
    <mruColors>
      <color rgb="FFFFE78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pivotCacheDefinition" Target="pivotCache/pivotCacheDefinition1.xml"/><Relationship Id="rId7" Type="http://schemas.openxmlformats.org/officeDocument/2006/relationships/sharedStrings" Target="sharedStrings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1.xml"/><Relationship Id="rId5" Type="http://schemas.openxmlformats.org/officeDocument/2006/relationships/connections" Target="connections.xml"/><Relationship Id="rId10" Type="http://schemas.openxmlformats.org/officeDocument/2006/relationships/calcChain" Target="calcChain.xml"/><Relationship Id="rId4" Type="http://schemas.openxmlformats.org/officeDocument/2006/relationships/theme" Target="theme/theme1.xml"/><Relationship Id="rId9" Type="http://schemas.microsoft.com/office/2022/11/relationships/FeaturePropertyBag" Target="featurePropertyBag/featurePropertyBag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Bar chart showing Medals Won by Sport 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spPr>
            <a:solidFill>
              <a:schemeClr val="accent1">
                <a:alpha val="85000"/>
              </a:schemeClr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</c:spPr>
          <c:invertIfNegative val="0"/>
          <c:dLbls>
            <c:spPr>
              <a:solidFill>
                <a:sysClr val="windowText" lastClr="000000">
                  <a:lumMod val="65000"/>
                  <a:lumOff val="35000"/>
                  <a:alpha val="75000"/>
                </a:sysClr>
              </a:solidFill>
              <a:ln>
                <a:noFill/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  <c15:showLeaderLines val="0"/>
              </c:ext>
            </c:extLst>
          </c:dLbls>
          <c:cat>
            <c:strRef>
              <c:f>olympic_dataset!$D$2:$D$9</c:f>
              <c:strCache>
                <c:ptCount val="8"/>
                <c:pt idx="0">
                  <c:v>Athletics</c:v>
                </c:pt>
                <c:pt idx="1">
                  <c:v>Swimming</c:v>
                </c:pt>
                <c:pt idx="2">
                  <c:v>Athletics</c:v>
                </c:pt>
                <c:pt idx="3">
                  <c:v>Gymnastics</c:v>
                </c:pt>
                <c:pt idx="4">
                  <c:v>Swimming</c:v>
                </c:pt>
                <c:pt idx="5">
                  <c:v>Athletics</c:v>
                </c:pt>
                <c:pt idx="6">
                  <c:v>Tennis</c:v>
                </c:pt>
                <c:pt idx="7">
                  <c:v>Tennis</c:v>
                </c:pt>
              </c:strCache>
            </c:strRef>
          </c:cat>
          <c:val>
            <c:numRef>
              <c:f>olympic_dataset!$F$2:$F$9</c:f>
              <c:numCache>
                <c:formatCode>0.00</c:formatCode>
                <c:ptCount val="8"/>
                <c:pt idx="0">
                  <c:v>6</c:v>
                </c:pt>
                <c:pt idx="1">
                  <c:v>5</c:v>
                </c:pt>
                <c:pt idx="2">
                  <c:v>4</c:v>
                </c:pt>
                <c:pt idx="3">
                  <c:v>4</c:v>
                </c:pt>
                <c:pt idx="4">
                  <c:v>4</c:v>
                </c:pt>
                <c:pt idx="5">
                  <c:v>2</c:v>
                </c:pt>
                <c:pt idx="6">
                  <c:v>2</c:v>
                </c:pt>
                <c:pt idx="7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953-C043-921C-A2ACC50B542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5"/>
        <c:axId val="1863522192"/>
        <c:axId val="1710852672"/>
      </c:barChart>
      <c:catAx>
        <c:axId val="1863522192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dk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Sports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dk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19050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10852672"/>
        <c:crosses val="autoZero"/>
        <c:auto val="1"/>
        <c:lblAlgn val="ctr"/>
        <c:lblOffset val="100"/>
        <c:noMultiLvlLbl val="0"/>
      </c:catAx>
      <c:valAx>
        <c:axId val="1710852672"/>
        <c:scaling>
          <c:orientation val="minMax"/>
        </c:scaling>
        <c:delete val="0"/>
        <c:axPos val="b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95000"/>
                      <a:lumOff val="5000"/>
                      <a:alpha val="42000"/>
                    </a:schemeClr>
                  </a:gs>
                  <a:gs pos="0">
                    <a:schemeClr val="lt1">
                      <a:lumMod val="75000"/>
                      <a:alpha val="36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dk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Number of Medals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dk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635221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lt1"/>
        </a:gs>
        <a:gs pos="39000">
          <a:schemeClr val="lt1"/>
        </a:gs>
        <a:gs pos="100000">
          <a:schemeClr val="lt1">
            <a:lumMod val="75000"/>
          </a:schemeClr>
        </a:gs>
      </a:gsLst>
      <a:path path="circle">
        <a:fillToRect l="50000" t="-80000" r="50000" b="180000"/>
      </a:path>
      <a:tileRect/>
    </a:gra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cap="all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1600" b="1" i="0" u="none" strike="noStrike" cap="all" baseline="0">
                <a:effectLst/>
              </a:rPr>
              <a:t>pie chart representing the distribution of athletes by Gender 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all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olympic_dataset!$N$13</c:f>
              <c:strCache>
                <c:ptCount val="1"/>
                <c:pt idx="0">
                  <c:v>Number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AA8D-EC4B-BAF9-781BA155566E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2-AA8D-EC4B-BAF9-781BA155566E}"/>
              </c:ext>
            </c:extLst>
          </c:dPt>
          <c:dLbls>
            <c:dLbl>
              <c:idx val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1-AA8D-EC4B-BAF9-781BA155566E}"/>
                </c:ext>
              </c:extLst>
            </c:dLbl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2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2-AA8D-EC4B-BAF9-781BA155566E}"/>
                </c:ext>
              </c:extLst>
            </c:dLbl>
            <c:dLblPos val="outEnd"/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olympic_dataset!$M$14:$M$15</c:f>
              <c:strCache>
                <c:ptCount val="2"/>
                <c:pt idx="0">
                  <c:v>Male</c:v>
                </c:pt>
                <c:pt idx="1">
                  <c:v>Female</c:v>
                </c:pt>
              </c:strCache>
            </c:strRef>
          </c:cat>
          <c:val>
            <c:numRef>
              <c:f>olympic_dataset!$N$14:$N$15</c:f>
              <c:numCache>
                <c:formatCode>General</c:formatCode>
                <c:ptCount val="2"/>
                <c:pt idx="0">
                  <c:v>5</c:v>
                </c:pt>
                <c:pt idx="1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A8D-EC4B-BAF9-781BA155566E}"/>
            </c:ext>
          </c:extLst>
        </c:ser>
        <c:dLbls>
          <c:dLblPos val="outEnd"/>
          <c:showLegendKey val="0"/>
          <c:showVal val="0"/>
          <c:showCatName val="1"/>
          <c:showSerName val="0"/>
          <c:showPercent val="1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8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59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cs:styleClr val="auto"/>
    </cs:fontRef>
    <cs:defRPr sz="1000" b="1" i="0" u="none" strike="noStrike" kern="1200" spc="0" baseline="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10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635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88900" sx="102000" sy="102000" algn="ctr" rotWithShape="0">
          <a:prstClr val="black">
            <a:alpha val="10000"/>
          </a:prstClr>
        </a:outerShdw>
      </a:effectLst>
      <a:scene3d>
        <a:camera prst="orthographicFront"/>
        <a:lightRig rig="threePt" dir="t"/>
      </a:scene3d>
      <a:sp3d>
        <a:bevelT w="127000" h="127000"/>
        <a:bevelB w="127000" h="127000"/>
      </a:sp3d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6350</xdr:colOff>
      <xdr:row>11</xdr:row>
      <xdr:rowOff>190500</xdr:rowOff>
    </xdr:from>
    <xdr:to>
      <xdr:col>10</xdr:col>
      <xdr:colOff>787400</xdr:colOff>
      <xdr:row>30</xdr:row>
      <xdr:rowOff>76200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C5D46258-CCC8-B13E-88F9-7E664E39B31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10</xdr:col>
      <xdr:colOff>996950</xdr:colOff>
      <xdr:row>15</xdr:row>
      <xdr:rowOff>0</xdr:rowOff>
    </xdr:from>
    <xdr:to>
      <xdr:col>17</xdr:col>
      <xdr:colOff>25400</xdr:colOff>
      <xdr:row>30</xdr:row>
      <xdr:rowOff>127000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29547F9F-AB25-8D6E-FA27-FABE776F63F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  <bag type="DXFComplements" extRef="DXFComplementsMapperExtRef">
    <a k="MappedFeaturePropertyBags">
      <bagId>2</bagId>
    </a>
  </bag>
</FeaturePropertyBag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yush Thapa" refreshedDate="45516.992907291664" createdVersion="8" refreshedVersion="8" minRefreshableVersion="3" recordCount="8" xr:uid="{7E065610-115B-AB44-B7E6-4BCF37DF2AE6}">
  <cacheSource type="worksheet">
    <worksheetSource name="olympic_dataset"/>
  </cacheSource>
  <cacheFields count="12">
    <cacheField name="Athlete ID" numFmtId="0">
      <sharedItems containsSemiMixedTypes="0" containsString="0" containsNumber="1" containsInteger="1" minValue="1" maxValue="8"/>
    </cacheField>
    <cacheField name="Athlete Name" numFmtId="0">
      <sharedItems/>
    </cacheField>
    <cacheField name="Country" numFmtId="0">
      <sharedItems count="4">
        <s v="USA"/>
        <s v="Jamaica"/>
        <s v="UK"/>
        <s v="Serbia"/>
      </sharedItems>
    </cacheField>
    <cacheField name="Sport" numFmtId="0">
      <sharedItems count="4">
        <s v="Athletics"/>
        <s v="Swimming"/>
        <s v="Gymnastics"/>
        <s v="Tennis"/>
      </sharedItems>
    </cacheField>
    <cacheField name="Event" numFmtId="0">
      <sharedItems/>
    </cacheField>
    <cacheField name="Medals Won" numFmtId="2">
      <sharedItems containsSemiMixedTypes="0" containsString="0" containsNumber="1" containsInteger="1" minValue="1" maxValue="6"/>
    </cacheField>
    <cacheField name="Total Events" numFmtId="2">
      <sharedItems containsSemiMixedTypes="0" containsString="0" containsNumber="1" containsInteger="1" minValue="2" maxValue="7"/>
    </cacheField>
    <cacheField name="Medal Percentage" numFmtId="0">
      <sharedItems containsSemiMixedTypes="0" containsString="0" containsNumber="1" minValue="50" maxValue="100"/>
    </cacheField>
    <cacheField name="Age" numFmtId="0">
      <sharedItems containsSemiMixedTypes="0" containsString="0" containsNumber="1" containsInteger="1" minValue="23" maxValue="35"/>
    </cacheField>
    <cacheField name="Age Group" numFmtId="0">
      <sharedItems/>
    </cacheField>
    <cacheField name="Gender" numFmtId="0">
      <sharedItems/>
    </cacheField>
    <cacheField name="Olympic Year" numFmtId="0">
      <sharedItems containsSemiMixedTypes="0" containsString="0" containsNumber="1" containsInteger="1" minValue="2016" maxValue="2016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8">
  <r>
    <n v="7"/>
    <s v="Allyson Felix"/>
    <x v="0"/>
    <x v="0"/>
    <s v="400m"/>
    <n v="6"/>
    <n v="7"/>
    <n v="85.714285714285708"/>
    <n v="35"/>
    <s v="31-35"/>
    <s v="Female"/>
    <n v="2016"/>
  </r>
  <r>
    <n v="2"/>
    <s v="Michael Phelps"/>
    <x v="0"/>
    <x v="1"/>
    <s v="200m Butterfly"/>
    <n v="5"/>
    <n v="6"/>
    <n v="83.333333333333343"/>
    <n v="31"/>
    <s v="31-35"/>
    <s v="Male"/>
    <n v="2016"/>
  </r>
  <r>
    <n v="1"/>
    <s v="Usain Bolt"/>
    <x v="1"/>
    <x v="0"/>
    <s v="100m Sprint"/>
    <n v="4"/>
    <n v="4"/>
    <n v="100"/>
    <n v="34"/>
    <s v="31-35"/>
    <s v="Male"/>
    <n v="2016"/>
  </r>
  <r>
    <n v="3"/>
    <s v="Simone Biles"/>
    <x v="0"/>
    <x v="2"/>
    <s v="All-around"/>
    <n v="4"/>
    <n v="5"/>
    <n v="80"/>
    <n v="24"/>
    <s v="Under 25"/>
    <s v="Female"/>
    <n v="2016"/>
  </r>
  <r>
    <n v="5"/>
    <s v="Katie Ledecky"/>
    <x v="0"/>
    <x v="1"/>
    <s v="800m Freestyle"/>
    <n v="4"/>
    <n v="5"/>
    <n v="80"/>
    <n v="23"/>
    <s v="Under 25"/>
    <s v="Female"/>
    <n v="2016"/>
  </r>
  <r>
    <n v="4"/>
    <s v="Mo Farah"/>
    <x v="2"/>
    <x v="0"/>
    <s v="5000m"/>
    <n v="2"/>
    <n v="3"/>
    <n v="66.666666666666657"/>
    <n v="33"/>
    <s v="31-35"/>
    <s v="Male"/>
    <n v="2016"/>
  </r>
  <r>
    <n v="6"/>
    <s v="Andy Murray"/>
    <x v="2"/>
    <x v="3"/>
    <s v="Singles"/>
    <n v="2"/>
    <n v="3"/>
    <n v="66.666666666666657"/>
    <n v="33"/>
    <s v="31-35"/>
    <s v="Male"/>
    <n v="2016"/>
  </r>
  <r>
    <n v="8"/>
    <s v="Novak Djokovic"/>
    <x v="3"/>
    <x v="3"/>
    <s v="Singles"/>
    <n v="1"/>
    <n v="2"/>
    <n v="50"/>
    <n v="32"/>
    <s v="31-35"/>
    <s v="Male"/>
    <n v="2016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6E02E08-9AFE-2C41-871F-CECB2CE291D1}" name="PivotTable1" cacheId="4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rowHeaderCaption="Country and Sport">
  <location ref="A3:B15" firstHeaderRow="1" firstDataRow="1" firstDataCol="1"/>
  <pivotFields count="12">
    <pivotField showAll="0"/>
    <pivotField showAll="0"/>
    <pivotField axis="axisRow" showAll="0">
      <items count="5">
        <item x="1"/>
        <item x="3"/>
        <item x="2"/>
        <item x="0"/>
        <item t="default"/>
      </items>
    </pivotField>
    <pivotField axis="axisRow" showAll="0">
      <items count="5">
        <item x="0"/>
        <item x="2"/>
        <item x="1"/>
        <item x="3"/>
        <item t="default"/>
      </items>
    </pivotField>
    <pivotField showAll="0"/>
    <pivotField dataField="1" numFmtId="2" showAll="0"/>
    <pivotField numFmtId="2" showAll="0"/>
    <pivotField showAll="0"/>
    <pivotField showAll="0"/>
    <pivotField showAll="0"/>
    <pivotField showAll="0"/>
    <pivotField showAll="0"/>
  </pivotFields>
  <rowFields count="2">
    <field x="2"/>
    <field x="3"/>
  </rowFields>
  <rowItems count="12">
    <i>
      <x/>
    </i>
    <i r="1">
      <x/>
    </i>
    <i>
      <x v="1"/>
    </i>
    <i r="1">
      <x v="3"/>
    </i>
    <i>
      <x v="2"/>
    </i>
    <i r="1">
      <x/>
    </i>
    <i r="1">
      <x v="3"/>
    </i>
    <i>
      <x v="3"/>
    </i>
    <i r="1">
      <x/>
    </i>
    <i r="1">
      <x v="1"/>
    </i>
    <i r="1">
      <x v="2"/>
    </i>
    <i t="grand">
      <x/>
    </i>
  </rowItems>
  <colItems count="1">
    <i/>
  </colItems>
  <dataFields count="1">
    <dataField name="Total Medals Won" fld="5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" xr16:uid="{6B3620F2-BD02-954A-9F73-6E9AF2593E68}" autoFormatId="16" applyNumberFormats="0" applyBorderFormats="0" applyFontFormats="0" applyPatternFormats="0" applyAlignmentFormats="0" applyWidthHeightFormats="0">
  <queryTableRefresh nextId="14">
    <queryTableFields count="13">
      <queryTableField id="1" name="Athlete ID" tableColumnId="1"/>
      <queryTableField id="2" name="Athlete Name" tableColumnId="2"/>
      <queryTableField id="3" name="Country" tableColumnId="3"/>
      <queryTableField id="4" name="Sport" tableColumnId="4"/>
      <queryTableField id="5" name="Event" tableColumnId="5"/>
      <queryTableField id="6" name="Medals Won" tableColumnId="6"/>
      <queryTableField id="7" name="Total Events" tableColumnId="7"/>
      <queryTableField id="8" name="Medal Percentage" tableColumnId="8"/>
      <queryTableField id="13" dataBound="0" tableColumnId="14"/>
      <queryTableField id="9" name="Age" tableColumnId="9"/>
      <queryTableField id="12" dataBound="0" tableColumnId="12"/>
      <queryTableField id="10" name="Gender" tableColumnId="10"/>
      <queryTableField id="11" name="Olympic Year" tableColumnId="11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C715C321-82E7-2E4B-A9F2-0E6A86E8577C}" name="olympic_dataset" displayName="olympic_dataset" ref="A1:M10" tableType="queryTable" totalsRowCount="1" headerRowDxfId="34" dataDxfId="32" totalsRowDxfId="33">
  <autoFilter ref="A1:M9" xr:uid="{C715C321-82E7-2E4B-A9F2-0E6A86E8577C}"/>
  <sortState xmlns:xlrd2="http://schemas.microsoft.com/office/spreadsheetml/2017/richdata2" ref="A2:M9">
    <sortCondition descending="1" ref="F1:F9"/>
  </sortState>
  <tableColumns count="13">
    <tableColumn id="1" xr3:uid="{0A63E92E-0658-7C4E-AA89-262E44751B7F}" uniqueName="1" name="Athlete ID" queryTableFieldId="1" dataDxfId="44" totalsRowDxfId="13"/>
    <tableColumn id="2" xr3:uid="{841AE51D-8C8C-B340-914A-9734BB508A1E}" uniqueName="2" name="Athlete Name" queryTableFieldId="2" dataDxfId="43" totalsRowDxfId="12"/>
    <tableColumn id="3" xr3:uid="{BE47776B-7C88-394C-8311-8B56928E4FF0}" uniqueName="3" name="Country" queryTableFieldId="3" dataDxfId="42" totalsRowDxfId="11"/>
    <tableColumn id="4" xr3:uid="{6F20A475-4837-074F-A68B-D2272AD74B18}" uniqueName="4" name="Sport" queryTableFieldId="4" dataDxfId="41" totalsRowDxfId="10"/>
    <tableColumn id="5" xr3:uid="{94B3A2B7-03FF-154E-A927-23DDDAA8B55E}" uniqueName="5" name="Event" queryTableFieldId="5" dataDxfId="40" totalsRowDxfId="9"/>
    <tableColumn id="6" xr3:uid="{7A27C617-3CAB-664C-89DD-32FA90C1B9E8}" uniqueName="6" name="Medals Won" queryTableFieldId="6" dataDxfId="19" totalsRowDxfId="8"/>
    <tableColumn id="7" xr3:uid="{527F354E-D932-FF4C-A916-1075C6A5F6BA}" uniqueName="7" name="Total Events" queryTableFieldId="7" dataDxfId="39" totalsRowDxfId="7"/>
    <tableColumn id="8" xr3:uid="{B2B45BFC-21AB-C04C-A44E-D7D88378B433}" uniqueName="8" name="Medal Percentage" queryTableFieldId="8" dataDxfId="18" totalsRowDxfId="6"/>
    <tableColumn id="14" xr3:uid="{5A51BFC9-8457-1D4B-BF44-0E8B49B1BA0F}" uniqueName="14" name="Medal Status" queryTableFieldId="13" dataDxfId="14" totalsRowDxfId="5">
      <calculatedColumnFormula array="1">_xlfn.SWITCH(olympic_dataset[[#This Row],[Medal Percentage]], "&gt;=80", "Excellent", "&gt;=60", "Very Good", "&gt;=40", "Good", "Need Improvement")</calculatedColumnFormula>
    </tableColumn>
    <tableColumn id="9" xr3:uid="{D903BB5D-9136-B044-B105-6B0A996360B1}" uniqueName="9" name="Age" totalsRowFunction="average" queryTableFieldId="9" dataDxfId="38" totalsRowDxfId="4"/>
    <tableColumn id="12" xr3:uid="{EDE76E16-30C4-0748-9778-45DF85A03236}" uniqueName="12" name="Age Group" queryTableFieldId="12" dataDxfId="37" totalsRowDxfId="3">
      <calculatedColumnFormula array="1">_xlfn.IFS(olympic_dataset[[#This Row],[Age]]&lt;25,"Under 25", olympic_dataset[[#This Row],[Age]]&lt;=30,"25-30", olympic_dataset[[#This Row],[Age]]&lt;=35,"31-35", 35&lt;olympic_dataset[[#This Row],[Age]],"Above 35")</calculatedColumnFormula>
    </tableColumn>
    <tableColumn id="10" xr3:uid="{1F603F1B-E705-3A47-9032-2D13523E2C79}" uniqueName="10" name="Gender" queryTableFieldId="10" dataDxfId="36" totalsRowDxfId="2"/>
    <tableColumn id="11" xr3:uid="{7804C45C-3C14-D944-A601-F9F70383FBD7}" uniqueName="11" name="Olympic Year" queryTableFieldId="11" dataDxfId="35" totalsRowDxfId="1"/>
  </tableColumns>
  <tableStyleInfo name="TableStyleLight10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1C2BB784-B963-C041-B1FF-A095F9123D86}" name="Table2" displayName="Table2" ref="B15:C19" totalsRowShown="0" headerRowDxfId="29" dataDxfId="28">
  <autoFilter ref="B15:C19" xr:uid="{1C2BB784-B963-C041-B1FF-A095F9123D86}"/>
  <tableColumns count="2">
    <tableColumn id="1" xr3:uid="{7E54ADC2-0E62-3C4B-B073-F9782857965A}" name="Country" dataDxfId="31"/>
    <tableColumn id="2" xr3:uid="{312938EF-6D54-994E-BA1E-99501BED5C84}" name="No. of medals" dataDxfId="30">
      <calculatedColumnFormula xml:space="preserve"> SUMIFS(olympic_dataset[Medals Won], olympic_dataset[Country], Table2[[#This Row],[Country]])</calculatedColumnFormula>
    </tableColumn>
  </tableColumns>
  <tableStyleInfo name="TableStyleLight8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4C5AE99B-B24E-F34F-A98F-3F789DB0095D}" name="Table3" displayName="Table3" ref="M13:N15" totalsRowShown="0" headerRowDxfId="25" dataDxfId="24">
  <autoFilter ref="M13:N15" xr:uid="{4C5AE99B-B24E-F34F-A98F-3F789DB0095D}"/>
  <tableColumns count="2">
    <tableColumn id="1" xr3:uid="{7B129EDC-899C-724C-BCD0-AC668A2FC04C}" name="Gender" dataDxfId="27"/>
    <tableColumn id="2" xr3:uid="{594345CE-4E70-5249-B43E-334886E9B69A}" name="Number" dataDxfId="26">
      <calculatedColumnFormula>COUNTIF(olympic_dataset[Gender],M14)</calculatedColumnFormula>
    </tableColumn>
  </tableColumns>
  <tableStyleInfo name="TableStyleLight20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4C8A8996-EA2F-724B-B6D8-15B7333CDAC7}" name="Table4" displayName="Table4" ref="O3:R4" totalsRowShown="0" headerRowDxfId="21" dataDxfId="20" headerRowBorderDxfId="47" tableBorderDxfId="45" totalsRowBorderDxfId="46">
  <tableColumns count="4">
    <tableColumn id="1" xr3:uid="{8E3A87E8-F7A9-494A-A1C9-84F93605F79E}" name="Athlete " dataDxfId="23"/>
    <tableColumn id="2" xr3:uid="{2BB2086B-A66D-E740-ABB9-5C51DF1FD14E}" name="Medals Won" dataDxfId="17"/>
    <tableColumn id="3" xr3:uid="{79DA8D5B-4291-8C43-B0F4-0D9F24393C3C}" name="Total Events" dataDxfId="22"/>
    <tableColumn id="4" xr3:uid="{6B8723E9-6B64-884B-AE7D-451BB66FDAB0}" name="Medal %" dataDxfId="16">
      <calculatedColumnFormula>Table4[[#This Row],[Medals Won]]/Table4[[#This Row],[Total Events]]*100</calculatedColumnFormula>
    </tableColumn>
  </tableColumns>
  <tableStyleInfo name="TableStyleDark3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drawing" Target="../drawings/drawing1.xml"/><Relationship Id="rId5" Type="http://schemas.openxmlformats.org/officeDocument/2006/relationships/table" Target="../tables/table4.xml"/><Relationship Id="rId4" Type="http://schemas.openxmlformats.org/officeDocument/2006/relationships/table" Target="../tables/table3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733202-6BD9-D047-8531-C92E368EB082}">
  <sheetPr codeName="Sheet1"/>
  <dimension ref="A1:R19"/>
  <sheetViews>
    <sheetView tabSelected="1" workbookViewId="0">
      <selection activeCell="K12" sqref="K12"/>
    </sheetView>
  </sheetViews>
  <sheetFormatPr baseColWidth="10" defaultRowHeight="16" x14ac:dyDescent="0.2"/>
  <cols>
    <col min="1" max="1" width="2.1640625" style="2" bestFit="1" customWidth="1"/>
    <col min="2" max="2" width="23.33203125" style="2" customWidth="1"/>
    <col min="3" max="3" width="23.83203125" style="2" customWidth="1"/>
    <col min="4" max="4" width="10.6640625" style="2" bestFit="1" customWidth="1"/>
    <col min="5" max="5" width="13.5" style="2" bestFit="1" customWidth="1"/>
    <col min="6" max="6" width="13.6640625" style="2" bestFit="1" customWidth="1"/>
    <col min="7" max="7" width="13.5" style="2" bestFit="1" customWidth="1"/>
    <col min="8" max="8" width="18.5" style="2" bestFit="1" customWidth="1"/>
    <col min="9" max="9" width="18.5" style="2" customWidth="1"/>
    <col min="10" max="10" width="14" style="2" customWidth="1"/>
    <col min="11" max="11" width="25.5" style="2" customWidth="1"/>
    <col min="12" max="12" width="9.6640625" style="2" bestFit="1" customWidth="1"/>
    <col min="13" max="13" width="14.5" style="2" bestFit="1" customWidth="1"/>
    <col min="14" max="14" width="10.83203125" style="2"/>
    <col min="15" max="15" width="14.33203125" style="2" customWidth="1"/>
    <col min="16" max="16" width="21.5" style="2" bestFit="1" customWidth="1"/>
    <col min="17" max="17" width="13.33203125" style="2" customWidth="1"/>
    <col min="18" max="16384" width="10.83203125" style="2"/>
  </cols>
  <sheetData>
    <row r="1" spans="1:18" ht="25" x14ac:dyDescent="0.2">
      <c r="A1" s="2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3" t="s">
        <v>5</v>
      </c>
      <c r="G1" s="3" t="s">
        <v>6</v>
      </c>
      <c r="H1" s="2" t="s">
        <v>7</v>
      </c>
      <c r="I1" s="2" t="s">
        <v>52</v>
      </c>
      <c r="J1" s="2" t="s">
        <v>8</v>
      </c>
      <c r="K1" s="2" t="s">
        <v>36</v>
      </c>
      <c r="L1" s="2" t="s">
        <v>9</v>
      </c>
      <c r="M1" s="2" t="s">
        <v>10</v>
      </c>
      <c r="O1" s="14" t="s">
        <v>41</v>
      </c>
    </row>
    <row r="2" spans="1:18" x14ac:dyDescent="0.2">
      <c r="A2" s="2">
        <v>7</v>
      </c>
      <c r="B2" s="2" t="s">
        <v>32</v>
      </c>
      <c r="C2" s="2" t="s">
        <v>17</v>
      </c>
      <c r="D2" s="2" t="s">
        <v>13</v>
      </c>
      <c r="E2" s="2" t="s">
        <v>33</v>
      </c>
      <c r="F2" s="10">
        <v>6</v>
      </c>
      <c r="G2" s="3">
        <v>7</v>
      </c>
      <c r="H2" s="11">
        <f>F2/G2*100</f>
        <v>85.714285714285708</v>
      </c>
      <c r="I2" s="11" t="str" cm="1">
        <f t="array" ref="I2">_xlfn.SWITCH(olympic_dataset[[#This Row],[Medal Percentage]], "&gt;=80", "Excellent", "&gt;=60", "Very Good", "&gt;=40", "Good", "Need Improvement")</f>
        <v>Need Improvement</v>
      </c>
      <c r="J2" s="2">
        <v>35</v>
      </c>
      <c r="K2" s="2" t="str" cm="1">
        <f t="array" ref="K2">_xlfn.IFS(olympic_dataset[[#This Row],[Age]]&lt;25,"Under 25", olympic_dataset[[#This Row],[Age]]&lt;=30,"25-30", olympic_dataset[[#This Row],[Age]]&lt;=35,"31-35", 35&lt;olympic_dataset[[#This Row],[Age]],"Above 35")</f>
        <v>31-35</v>
      </c>
      <c r="L2" s="4" t="s">
        <v>23</v>
      </c>
      <c r="M2" s="2">
        <v>2016</v>
      </c>
      <c r="O2" s="15" t="s">
        <v>42</v>
      </c>
    </row>
    <row r="3" spans="1:18" x14ac:dyDescent="0.2">
      <c r="A3" s="2">
        <v>2</v>
      </c>
      <c r="B3" s="2" t="s">
        <v>16</v>
      </c>
      <c r="C3" s="2" t="s">
        <v>17</v>
      </c>
      <c r="D3" s="2" t="s">
        <v>18</v>
      </c>
      <c r="E3" s="2" t="s">
        <v>19</v>
      </c>
      <c r="F3" s="10">
        <v>5</v>
      </c>
      <c r="G3" s="3">
        <v>6</v>
      </c>
      <c r="H3" s="11">
        <f>F3/G3*100</f>
        <v>83.333333333333343</v>
      </c>
      <c r="I3" s="11" t="str" cm="1">
        <f t="array" ref="I3">_xlfn.SWITCH(olympic_dataset[[#This Row],[Medal Percentage]], "&gt;=80", "Excellent", "&gt;=60", "Very Good", "&gt;=40", "Good", "Need Improvement")</f>
        <v>Need Improvement</v>
      </c>
      <c r="J3" s="2">
        <v>31</v>
      </c>
      <c r="K3" s="2" t="str" cm="1">
        <f t="array" ref="K3">_xlfn.IFS(olympic_dataset[[#This Row],[Age]]&lt;25,"Under 25", olympic_dataset[[#This Row],[Age]]&lt;=30,"25-30", olympic_dataset[[#This Row],[Age]]&lt;=35,"31-35", 35&lt;olympic_dataset[[#This Row],[Age]],"Above 35")</f>
        <v>31-35</v>
      </c>
      <c r="L3" s="4" t="s">
        <v>15</v>
      </c>
      <c r="M3" s="2">
        <v>2016</v>
      </c>
      <c r="O3" s="5" t="s">
        <v>43</v>
      </c>
      <c r="P3" s="6" t="s">
        <v>5</v>
      </c>
      <c r="Q3" s="6" t="s">
        <v>6</v>
      </c>
      <c r="R3" s="7" t="s">
        <v>44</v>
      </c>
    </row>
    <row r="4" spans="1:18" x14ac:dyDescent="0.2">
      <c r="A4" s="2">
        <v>1</v>
      </c>
      <c r="B4" s="2" t="s">
        <v>11</v>
      </c>
      <c r="C4" s="2" t="s">
        <v>12</v>
      </c>
      <c r="D4" s="2" t="s">
        <v>13</v>
      </c>
      <c r="E4" s="2" t="s">
        <v>14</v>
      </c>
      <c r="F4" s="10">
        <v>4</v>
      </c>
      <c r="G4" s="3">
        <v>4</v>
      </c>
      <c r="H4" s="11">
        <f>F4/G4*100</f>
        <v>100</v>
      </c>
      <c r="I4" s="11" t="str" cm="1">
        <f t="array" ref="I4">_xlfn.SWITCH(olympic_dataset[[#This Row],[Medal Percentage]], "&gt;=80", "Excellent", "&gt;=60", "Very Good", "&gt;=40", "Good", "Need Improvement")</f>
        <v>Need Improvement</v>
      </c>
      <c r="J4" s="2">
        <v>34</v>
      </c>
      <c r="K4" s="2" t="str" cm="1">
        <f t="array" ref="K4">_xlfn.IFS(olympic_dataset[[#This Row],[Age]]&lt;25,"Under 25", olympic_dataset[[#This Row],[Age]]&lt;=30,"25-30", olympic_dataset[[#This Row],[Age]]&lt;=35,"31-35", 35&lt;olympic_dataset[[#This Row],[Age]],"Above 35")</f>
        <v>31-35</v>
      </c>
      <c r="L4" s="4" t="s">
        <v>15</v>
      </c>
      <c r="M4" s="2">
        <v>2016</v>
      </c>
      <c r="O4" s="8" t="s">
        <v>16</v>
      </c>
      <c r="P4" s="12">
        <v>7</v>
      </c>
      <c r="Q4" s="9">
        <v>7.7778520816326502</v>
      </c>
      <c r="R4" s="13">
        <f>Table4[[#This Row],[Medals Won]]/Table4[[#This Row],[Total Events]]*100</f>
        <v>89.999140206464673</v>
      </c>
    </row>
    <row r="5" spans="1:18" x14ac:dyDescent="0.2">
      <c r="A5" s="2">
        <v>3</v>
      </c>
      <c r="B5" s="2" t="s">
        <v>20</v>
      </c>
      <c r="C5" s="2" t="s">
        <v>17</v>
      </c>
      <c r="D5" s="2" t="s">
        <v>21</v>
      </c>
      <c r="E5" s="2" t="s">
        <v>22</v>
      </c>
      <c r="F5" s="10">
        <v>4</v>
      </c>
      <c r="G5" s="3">
        <v>5</v>
      </c>
      <c r="H5" s="11">
        <f>F5/G5*100</f>
        <v>80</v>
      </c>
      <c r="I5" s="11" t="str" cm="1">
        <f t="array" ref="I5">_xlfn.SWITCH(olympic_dataset[[#This Row],[Medal Percentage]], "&gt;=80", "Excellent", "&gt;=60", "Very Good", "&gt;=40", "Good", "Need Improvement")</f>
        <v>Need Improvement</v>
      </c>
      <c r="J5" s="2">
        <v>24</v>
      </c>
      <c r="K5" s="2" t="str" cm="1">
        <f t="array" ref="K5">_xlfn.IFS(olympic_dataset[[#This Row],[Age]]&lt;25,"Under 25", olympic_dataset[[#This Row],[Age]]&lt;=30,"25-30", olympic_dataset[[#This Row],[Age]]&lt;=35,"31-35", 35&lt;olympic_dataset[[#This Row],[Age]],"Above 35")</f>
        <v>Under 25</v>
      </c>
      <c r="L5" s="4" t="s">
        <v>23</v>
      </c>
      <c r="M5" s="2">
        <v>2016</v>
      </c>
    </row>
    <row r="6" spans="1:18" x14ac:dyDescent="0.2">
      <c r="A6" s="2">
        <v>5</v>
      </c>
      <c r="B6" s="2" t="s">
        <v>27</v>
      </c>
      <c r="C6" s="2" t="s">
        <v>17</v>
      </c>
      <c r="D6" s="2" t="s">
        <v>18</v>
      </c>
      <c r="E6" s="2" t="s">
        <v>28</v>
      </c>
      <c r="F6" s="10">
        <v>4</v>
      </c>
      <c r="G6" s="3">
        <v>5</v>
      </c>
      <c r="H6" s="11">
        <f>F6/G6*100</f>
        <v>80</v>
      </c>
      <c r="I6" s="11" t="str" cm="1">
        <f t="array" ref="I6">_xlfn.SWITCH(olympic_dataset[[#This Row],[Medal Percentage]], "&gt;=80", "Excellent", "&gt;=60", "Very Good", "&gt;=40", "Good", "Need Improvement")</f>
        <v>Need Improvement</v>
      </c>
      <c r="J6" s="2">
        <v>23</v>
      </c>
      <c r="K6" s="2" t="str" cm="1">
        <f t="array" ref="K6">_xlfn.IFS(olympic_dataset[[#This Row],[Age]]&lt;25,"Under 25", olympic_dataset[[#This Row],[Age]]&lt;=30,"25-30", olympic_dataset[[#This Row],[Age]]&lt;=35,"31-35", 35&lt;olympic_dataset[[#This Row],[Age]],"Above 35")</f>
        <v>Under 25</v>
      </c>
      <c r="L6" s="4" t="s">
        <v>23</v>
      </c>
      <c r="M6" s="2">
        <v>2016</v>
      </c>
      <c r="O6" s="17" t="s">
        <v>47</v>
      </c>
    </row>
    <row r="7" spans="1:18" x14ac:dyDescent="0.2">
      <c r="A7" s="2">
        <v>4</v>
      </c>
      <c r="B7" s="2" t="s">
        <v>24</v>
      </c>
      <c r="C7" s="2" t="s">
        <v>25</v>
      </c>
      <c r="D7" s="2" t="s">
        <v>13</v>
      </c>
      <c r="E7" s="2" t="s">
        <v>26</v>
      </c>
      <c r="F7" s="10">
        <v>2</v>
      </c>
      <c r="G7" s="3">
        <v>3</v>
      </c>
      <c r="H7" s="11">
        <f>F7/G7*100</f>
        <v>66.666666666666657</v>
      </c>
      <c r="I7" s="11" t="str" cm="1">
        <f t="array" ref="I7">_xlfn.SWITCH(olympic_dataset[[#This Row],[Medal Percentage]], "&gt;=80", "Excellent", "&gt;=60", "Very Good", "&gt;=40", "Good", "Need Improvement")</f>
        <v>Need Improvement</v>
      </c>
      <c r="J7" s="2">
        <v>33</v>
      </c>
      <c r="K7" s="2" t="str" cm="1">
        <f t="array" ref="K7">_xlfn.IFS(olympic_dataset[[#This Row],[Age]]&lt;25,"Under 25", olympic_dataset[[#This Row],[Age]]&lt;=30,"25-30", olympic_dataset[[#This Row],[Age]]&lt;=35,"31-35", 35&lt;olympic_dataset[[#This Row],[Age]],"Above 35")</f>
        <v>31-35</v>
      </c>
      <c r="L7" s="4" t="s">
        <v>15</v>
      </c>
      <c r="M7" s="2">
        <v>2016</v>
      </c>
      <c r="O7" s="19" t="s">
        <v>45</v>
      </c>
      <c r="P7" s="19" t="s">
        <v>46</v>
      </c>
    </row>
    <row r="8" spans="1:18" x14ac:dyDescent="0.2">
      <c r="A8" s="2">
        <v>6</v>
      </c>
      <c r="B8" s="2" t="s">
        <v>29</v>
      </c>
      <c r="C8" s="2" t="s">
        <v>25</v>
      </c>
      <c r="D8" s="2" t="s">
        <v>30</v>
      </c>
      <c r="E8" s="2" t="s">
        <v>31</v>
      </c>
      <c r="F8" s="10">
        <v>2</v>
      </c>
      <c r="G8" s="3">
        <v>3</v>
      </c>
      <c r="H8" s="11">
        <f>F8/G8*100</f>
        <v>66.666666666666657</v>
      </c>
      <c r="I8" s="11" t="str" cm="1">
        <f t="array" ref="I8">_xlfn.SWITCH(olympic_dataset[[#This Row],[Medal Percentage]], "&gt;=80", "Excellent", "&gt;=60", "Very Good", "&gt;=40", "Good", "Need Improvement")</f>
        <v>Need Improvement</v>
      </c>
      <c r="J8" s="2">
        <v>33</v>
      </c>
      <c r="K8" s="2" t="str" cm="1">
        <f t="array" ref="K8">_xlfn.IFS(olympic_dataset[[#This Row],[Age]]&lt;25,"Under 25", olympic_dataset[[#This Row],[Age]]&lt;=30,"25-30", olympic_dataset[[#This Row],[Age]]&lt;=35,"31-35", 35&lt;olympic_dataset[[#This Row],[Age]],"Above 35")</f>
        <v>31-35</v>
      </c>
      <c r="L8" s="4" t="s">
        <v>15</v>
      </c>
      <c r="M8" s="2">
        <v>2016</v>
      </c>
      <c r="O8" s="20" t="s">
        <v>24</v>
      </c>
      <c r="P8" s="19">
        <f>_xlfn.XLOOKUP(O8,olympic_dataset[Athlete Name],olympic_dataset[Total Events])</f>
        <v>3</v>
      </c>
    </row>
    <row r="9" spans="1:18" x14ac:dyDescent="0.2">
      <c r="A9" s="2">
        <v>8</v>
      </c>
      <c r="B9" s="2" t="s">
        <v>34</v>
      </c>
      <c r="C9" s="2" t="s">
        <v>35</v>
      </c>
      <c r="D9" s="2" t="s">
        <v>30</v>
      </c>
      <c r="E9" s="2" t="s">
        <v>31</v>
      </c>
      <c r="F9" s="10">
        <v>1</v>
      </c>
      <c r="G9" s="3">
        <v>2</v>
      </c>
      <c r="H9" s="11">
        <f>F9/G9*100</f>
        <v>50</v>
      </c>
      <c r="I9" s="11" t="str" cm="1">
        <f t="array" ref="I9">_xlfn.SWITCH(olympic_dataset[[#This Row],[Medal Percentage]], "&gt;=80", "Excellent", "&gt;=60", "Very Good", "&gt;=40", "Good", "Need Improvement")</f>
        <v>Need Improvement</v>
      </c>
      <c r="J9" s="2">
        <v>32</v>
      </c>
      <c r="K9" s="2" t="str" cm="1">
        <f t="array" ref="K9">_xlfn.IFS(olympic_dataset[[#This Row],[Age]]&lt;25,"Under 25", olympic_dataset[[#This Row],[Age]]&lt;=30,"25-30", olympic_dataset[[#This Row],[Age]]&lt;=35,"31-35", 35&lt;olympic_dataset[[#This Row],[Age]],"Above 35")</f>
        <v>31-35</v>
      </c>
      <c r="L9" s="4" t="s">
        <v>15</v>
      </c>
      <c r="M9" s="2">
        <v>2016</v>
      </c>
    </row>
    <row r="10" spans="1:18" x14ac:dyDescent="0.2">
      <c r="B10" s="16"/>
      <c r="C10" s="16"/>
      <c r="D10" s="16"/>
      <c r="E10" s="16"/>
      <c r="F10" s="3"/>
      <c r="G10" s="3"/>
      <c r="J10" s="2">
        <f>SUBTOTAL(101,olympic_dataset[Age])</f>
        <v>30.625</v>
      </c>
      <c r="K10" s="16"/>
      <c r="L10" s="16"/>
      <c r="O10" s="19" t="s">
        <v>48</v>
      </c>
      <c r="P10" s="19">
        <f>VLOOKUP(O8,olympic_dataset[[Athlete Name]:[Total Events]],6, FALSE)</f>
        <v>3</v>
      </c>
    </row>
    <row r="12" spans="1:18" x14ac:dyDescent="0.2">
      <c r="B12" s="17" t="s">
        <v>37</v>
      </c>
      <c r="C12" s="2">
        <f>olympic_dataset[[#Totals],[Age]]</f>
        <v>30.625</v>
      </c>
    </row>
    <row r="13" spans="1:18" x14ac:dyDescent="0.2">
      <c r="M13" s="2" t="s">
        <v>9</v>
      </c>
      <c r="N13" s="2" t="s">
        <v>40</v>
      </c>
    </row>
    <row r="14" spans="1:18" x14ac:dyDescent="0.2">
      <c r="B14" s="17" t="s">
        <v>38</v>
      </c>
      <c r="M14" s="2" t="s">
        <v>15</v>
      </c>
      <c r="N14" s="2">
        <f>COUNTIF(olympic_dataset[Gender],M14)</f>
        <v>5</v>
      </c>
    </row>
    <row r="15" spans="1:18" x14ac:dyDescent="0.2">
      <c r="B15" s="2" t="s">
        <v>2</v>
      </c>
      <c r="C15" s="2" t="s">
        <v>39</v>
      </c>
      <c r="M15" s="2" t="s">
        <v>23</v>
      </c>
      <c r="N15" s="2">
        <f>COUNTIF(olympic_dataset[Gender],M15)</f>
        <v>3</v>
      </c>
    </row>
    <row r="16" spans="1:18" x14ac:dyDescent="0.2">
      <c r="B16" s="18" t="s">
        <v>12</v>
      </c>
      <c r="C16" s="2">
        <f xml:space="preserve"> SUMIFS(olympic_dataset[Medals Won], olympic_dataset[Country], Table2[[#This Row],[Country]])</f>
        <v>4</v>
      </c>
    </row>
    <row r="17" spans="2:3" x14ac:dyDescent="0.2">
      <c r="B17" s="2" t="s">
        <v>17</v>
      </c>
      <c r="C17" s="2">
        <f xml:space="preserve"> SUMIFS(olympic_dataset[Medals Won], olympic_dataset[Country], Table2[[#This Row],[Country]])</f>
        <v>19</v>
      </c>
    </row>
    <row r="18" spans="2:3" x14ac:dyDescent="0.2">
      <c r="B18" s="18" t="s">
        <v>25</v>
      </c>
      <c r="C18" s="2">
        <f xml:space="preserve"> SUMIFS(olympic_dataset[Medals Won], olympic_dataset[Country], Table2[[#This Row],[Country]])</f>
        <v>4</v>
      </c>
    </row>
    <row r="19" spans="2:3" x14ac:dyDescent="0.2">
      <c r="B19" s="2" t="s">
        <v>35</v>
      </c>
      <c r="C19" s="2">
        <f xml:space="preserve"> SUMIFS(olympic_dataset[Medals Won], olympic_dataset[Country], Table2[[#This Row],[Country]])</f>
        <v>1</v>
      </c>
    </row>
  </sheetData>
  <conditionalFormatting sqref="H2:H9">
    <cfRule type="cellIs" dxfId="15" priority="1" operator="greaterThanOrEqual">
      <formula>75</formula>
    </cfRule>
  </conditionalFormatting>
  <pageMargins left="0.7" right="0.7" top="0.75" bottom="0.75" header="0.3" footer="0.3"/>
  <drawing r:id="rId1"/>
  <tableParts count="4">
    <tablePart r:id="rId2"/>
    <tablePart r:id="rId3"/>
    <tablePart r:id="rId4"/>
    <tablePart r:id="rId5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C382CB-F40A-B746-8FF5-3E51AFC94355}">
  <dimension ref="A3:B15"/>
  <sheetViews>
    <sheetView workbookViewId="0">
      <selection activeCell="G12" sqref="G12"/>
    </sheetView>
  </sheetViews>
  <sheetFormatPr baseColWidth="10" defaultRowHeight="16" x14ac:dyDescent="0.2"/>
  <cols>
    <col min="1" max="1" width="18.1640625" bestFit="1" customWidth="1"/>
    <col min="2" max="2" width="15.5" bestFit="1" customWidth="1"/>
    <col min="3" max="3" width="11.1640625" bestFit="1" customWidth="1"/>
    <col min="4" max="4" width="9.83203125" bestFit="1" customWidth="1"/>
    <col min="5" max="5" width="6.5" bestFit="1" customWidth="1"/>
    <col min="6" max="6" width="10.5" bestFit="1" customWidth="1"/>
  </cols>
  <sheetData>
    <row r="3" spans="1:2" x14ac:dyDescent="0.2">
      <c r="A3" s="21" t="s">
        <v>50</v>
      </c>
      <c r="B3" t="s">
        <v>51</v>
      </c>
    </row>
    <row r="4" spans="1:2" x14ac:dyDescent="0.2">
      <c r="A4" s="22" t="s">
        <v>12</v>
      </c>
      <c r="B4" s="1">
        <v>4</v>
      </c>
    </row>
    <row r="5" spans="1:2" x14ac:dyDescent="0.2">
      <c r="A5" s="23" t="s">
        <v>13</v>
      </c>
      <c r="B5" s="1">
        <v>4</v>
      </c>
    </row>
    <row r="6" spans="1:2" x14ac:dyDescent="0.2">
      <c r="A6" s="22" t="s">
        <v>35</v>
      </c>
      <c r="B6" s="1">
        <v>1</v>
      </c>
    </row>
    <row r="7" spans="1:2" x14ac:dyDescent="0.2">
      <c r="A7" s="23" t="s">
        <v>30</v>
      </c>
      <c r="B7" s="1">
        <v>1</v>
      </c>
    </row>
    <row r="8" spans="1:2" x14ac:dyDescent="0.2">
      <c r="A8" s="22" t="s">
        <v>25</v>
      </c>
      <c r="B8" s="1">
        <v>4</v>
      </c>
    </row>
    <row r="9" spans="1:2" x14ac:dyDescent="0.2">
      <c r="A9" s="23" t="s">
        <v>13</v>
      </c>
      <c r="B9" s="1">
        <v>2</v>
      </c>
    </row>
    <row r="10" spans="1:2" x14ac:dyDescent="0.2">
      <c r="A10" s="23" t="s">
        <v>30</v>
      </c>
      <c r="B10" s="1">
        <v>2</v>
      </c>
    </row>
    <row r="11" spans="1:2" x14ac:dyDescent="0.2">
      <c r="A11" s="22" t="s">
        <v>17</v>
      </c>
      <c r="B11" s="1">
        <v>19</v>
      </c>
    </row>
    <row r="12" spans="1:2" x14ac:dyDescent="0.2">
      <c r="A12" s="23" t="s">
        <v>13</v>
      </c>
      <c r="B12" s="1">
        <v>6</v>
      </c>
    </row>
    <row r="13" spans="1:2" x14ac:dyDescent="0.2">
      <c r="A13" s="23" t="s">
        <v>21</v>
      </c>
      <c r="B13" s="1">
        <v>4</v>
      </c>
    </row>
    <row r="14" spans="1:2" x14ac:dyDescent="0.2">
      <c r="A14" s="23" t="s">
        <v>18</v>
      </c>
      <c r="B14" s="1">
        <v>9</v>
      </c>
    </row>
    <row r="15" spans="1:2" x14ac:dyDescent="0.2">
      <c r="A15" s="22" t="s">
        <v>49</v>
      </c>
      <c r="B15" s="1">
        <v>28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718B7672-B6D1-8642-B319-A05489699495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olympic_dataset</vt:lpstr>
      <vt:lpstr>Pivot Table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Ayush Thapa</dc:creator>
  <cp:lastModifiedBy>Ayush Thapa</cp:lastModifiedBy>
  <dcterms:created xsi:type="dcterms:W3CDTF">2024-08-11T22:37:52Z</dcterms:created>
  <dcterms:modified xsi:type="dcterms:W3CDTF">2024-08-12T23:13:06Z</dcterms:modified>
</cp:coreProperties>
</file>