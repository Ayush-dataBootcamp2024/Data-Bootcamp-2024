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kheil/Downloads/Data Bootcamp - Excel/6 Excel Consolidation Exercises /Travel Dataset Analysis/"/>
    </mc:Choice>
  </mc:AlternateContent>
  <xr:revisionPtr revIDLastSave="0" documentId="13_ncr:9_{33906C26-E79F-1C46-B205-60B026A74701}" xr6:coauthVersionLast="47" xr6:coauthVersionMax="47" xr10:uidLastSave="{00000000-0000-0000-0000-000000000000}"/>
  <bookViews>
    <workbookView xWindow="0" yWindow="520" windowWidth="25520" windowHeight="14320" activeTab="1" xr2:uid="{613A290E-FB43-A14F-BBC4-B2A360257B58}"/>
  </bookViews>
  <sheets>
    <sheet name="Pivot Table" sheetId="2" r:id="rId1"/>
    <sheet name="travel_dataset" sheetId="1" r:id="rId2"/>
  </sheets>
  <definedNames>
    <definedName name="_xlnm._FilterDatabase" localSheetId="1" hidden="1">travel_dataset!$A$1:$L$8</definedName>
  </definedNames>
  <calcPr calcId="191029"/>
  <pivotCaches>
    <pivotCache cacheId="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J7" i="1"/>
  <c r="I3" i="1" a="1"/>
  <c r="I3" i="1" s="1"/>
  <c r="I4" i="1" a="1"/>
  <c r="I4" i="1" s="1"/>
  <c r="I5" i="1" a="1"/>
  <c r="I5" i="1" s="1"/>
  <c r="I6" i="1" a="1"/>
  <c r="I6" i="1" s="1"/>
  <c r="I2" i="1" a="1"/>
  <c r="I2" i="1" s="1"/>
  <c r="K19" i="1"/>
  <c r="L14" i="1"/>
  <c r="K2" i="1"/>
  <c r="L2" i="1" s="1"/>
  <c r="K4" i="1"/>
  <c r="L4" i="1" s="1"/>
  <c r="K5" i="1"/>
  <c r="L5" i="1" s="1"/>
  <c r="K6" i="1"/>
  <c r="L6" i="1" s="1"/>
  <c r="K3" i="1"/>
  <c r="L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<sst xmlns="http://schemas.openxmlformats.org/spreadsheetml/2006/main" count="57" uniqueCount="43">
  <si>
    <t>Destination ID</t>
  </si>
  <si>
    <t>Destination Name</t>
  </si>
  <si>
    <t>Country</t>
  </si>
  <si>
    <t>Continent</t>
  </si>
  <si>
    <t>Major Attractions</t>
  </si>
  <si>
    <t>Average Cost (per day in USD)</t>
  </si>
  <si>
    <t>Popularity Rating (out of 5)</t>
  </si>
  <si>
    <t>Best Season to Visit</t>
  </si>
  <si>
    <t>Tourist Volume (in millions)</t>
  </si>
  <si>
    <t>Paris</t>
  </si>
  <si>
    <t>France</t>
  </si>
  <si>
    <t>Europe</t>
  </si>
  <si>
    <t>Eiffel Tower, Louvre Museum</t>
  </si>
  <si>
    <t>Spring</t>
  </si>
  <si>
    <t>Tokyo</t>
  </si>
  <si>
    <t>Japan</t>
  </si>
  <si>
    <t>Asia</t>
  </si>
  <si>
    <t>Tokyo Tower, Shibuya Crossing</t>
  </si>
  <si>
    <t>New York City</t>
  </si>
  <si>
    <t>USA</t>
  </si>
  <si>
    <t>North America</t>
  </si>
  <si>
    <t>Fall</t>
  </si>
  <si>
    <t>Sydney</t>
  </si>
  <si>
    <t>Australia</t>
  </si>
  <si>
    <t>Sydney Opera House, Bondi Beach</t>
  </si>
  <si>
    <t>Summer</t>
  </si>
  <si>
    <t>Cape Town</t>
  </si>
  <si>
    <t>South Africa</t>
  </si>
  <si>
    <t>Africa</t>
  </si>
  <si>
    <t>Table Mountain, Robben Island</t>
  </si>
  <si>
    <t>Total Cost for a week</t>
  </si>
  <si>
    <t>Budget-Friendly</t>
  </si>
  <si>
    <t>Average Rating = 4.6</t>
  </si>
  <si>
    <t>Total Tourist Volume = 59 millions</t>
  </si>
  <si>
    <t>Statue of Liberty, Central Park, Broadway shows</t>
  </si>
  <si>
    <t>What-If Analysis</t>
  </si>
  <si>
    <r>
      <t xml:space="preserve">Use </t>
    </r>
    <r>
      <rPr>
        <b/>
        <sz val="12"/>
        <color theme="1"/>
        <rFont val="Aptos"/>
      </rPr>
      <t>Goal Seek</t>
    </r>
    <r>
      <rPr>
        <sz val="12"/>
        <color theme="1"/>
        <rFont val="Aptos"/>
      </rPr>
      <t xml:space="preserve"> to determine the necessary daily budget to keep the Total Cost under $1500 for a 10-day trip to Tokyo.</t>
    </r>
  </si>
  <si>
    <t>Total Cost for a 10-day trip</t>
  </si>
  <si>
    <t>Grand Total</t>
  </si>
  <si>
    <t>Average of Average Cost (per day in USD)</t>
  </si>
  <si>
    <t>Average of Tourist Volume (in millions)</t>
  </si>
  <si>
    <t>Continents</t>
  </si>
  <si>
    <t>Season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</si>
</sst>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[$$-409]#,##0.00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20"/>
      <color rgb="FF0F4761"/>
      <name val="Arial"/>
      <family val="2"/>
    </font>
    <font>
      <sz val="12"/>
      <color theme="1"/>
      <name val="Aptos"/>
    </font>
    <font>
      <b/>
      <sz val="12"/>
      <color theme="1"/>
      <name val="Apto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18" fillId="0" borderId="10" xfId="0" applyFont="1" applyBorder="1" applyAlignment="1" applyProtection="1">
      <alignment horizontal="center"/>
      <protection locked="0"/>
    </xf>
    <xf numFmtId="2" fontId="18" fillId="0" borderId="10" xfId="0" applyNumberFormat="1" applyFont="1" applyBorder="1" applyAlignment="1" applyProtection="1">
      <alignment horizontal="center"/>
      <protection locked="0"/>
    </xf>
    <xf numFmtId="0" fontId="18" fillId="0" borderId="10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0" xfId="0" applyBorder="1" applyProtection="1">
      <protection locked="0"/>
    </xf>
    <xf numFmtId="2" fontId="0" fillId="0" borderId="10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 applyProtection="1">
      <protection locked="0"/>
    </xf>
    <xf numFmtId="2" fontId="0" fillId="0" borderId="11" xfId="0" applyNumberFormat="1" applyBorder="1" applyProtection="1">
      <protection locked="0"/>
    </xf>
    <xf numFmtId="0" fontId="18" fillId="0" borderId="0" xfId="0" applyFont="1" applyBorder="1" applyProtection="1">
      <protection locked="0"/>
    </xf>
    <xf numFmtId="0" fontId="19" fillId="0" borderId="0" xfId="0" applyFont="1" applyAlignment="1" applyProtection="1">
      <alignment vertical="center"/>
      <protection locked="0"/>
    </xf>
    <xf numFmtId="0" fontId="20" fillId="0" borderId="0" xfId="0" applyFont="1" applyAlignment="1" applyProtection="1">
      <alignment horizontal="left" vertical="center" indent="1"/>
      <protection locked="0"/>
    </xf>
    <xf numFmtId="169" fontId="18" fillId="0" borderId="10" xfId="0" applyNumberFormat="1" applyFont="1" applyBorder="1" applyAlignment="1" applyProtection="1">
      <alignment horizontal="center"/>
    </xf>
    <xf numFmtId="169" fontId="0" fillId="0" borderId="10" xfId="0" applyNumberFormat="1" applyBorder="1" applyProtection="1"/>
    <xf numFmtId="169" fontId="0" fillId="0" borderId="13" xfId="0" applyNumberFormat="1" applyBorder="1" applyProtection="1"/>
    <xf numFmtId="169" fontId="18" fillId="0" borderId="10" xfId="0" applyNumberFormat="1" applyFont="1" applyFill="1" applyBorder="1" applyAlignment="1" applyProtection="1">
      <alignment horizontal="center"/>
    </xf>
    <xf numFmtId="0" fontId="16" fillId="0" borderId="14" xfId="0" applyFont="1" applyBorder="1" applyAlignment="1" applyProtection="1">
      <alignment horizontal="center"/>
      <protection locked="0"/>
    </xf>
    <xf numFmtId="0" fontId="21" fillId="0" borderId="15" xfId="0" applyFont="1" applyBorder="1" applyAlignment="1" applyProtection="1">
      <alignment horizontal="center"/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18" fillId="0" borderId="14" xfId="0" applyFont="1" applyBorder="1" applyAlignment="1" applyProtection="1">
      <alignment horizontal="center"/>
      <protection locked="0"/>
    </xf>
    <xf numFmtId="169" fontId="18" fillId="0" borderId="18" xfId="0" applyNumberFormat="1" applyFont="1" applyBorder="1" applyAlignment="1" applyProtection="1">
      <alignment horizontal="center"/>
      <protection locked="0"/>
    </xf>
    <xf numFmtId="169" fontId="18" fillId="0" borderId="15" xfId="0" applyNumberFormat="1" applyFont="1" applyBorder="1" applyAlignment="1" applyProtection="1">
      <alignment horizontal="center"/>
      <protection locked="0"/>
    </xf>
    <xf numFmtId="169" fontId="0" fillId="0" borderId="19" xfId="0" applyNumberFormat="1" applyBorder="1" applyProtection="1">
      <protection locked="0"/>
    </xf>
    <xf numFmtId="169" fontId="0" fillId="0" borderId="17" xfId="0" applyNumberFormat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1" xfId="0" applyBorder="1" applyProtection="1">
      <protection locked="0"/>
    </xf>
    <xf numFmtId="2" fontId="0" fillId="0" borderId="20" xfId="0" applyNumberFormat="1" applyBorder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Tourist Volume by</a:t>
            </a:r>
            <a:r>
              <a:rPr lang="en-US" b="1" baseline="0"/>
              <a:t> Destination name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travel_dataset!$J$1</c:f>
              <c:strCache>
                <c:ptCount val="1"/>
                <c:pt idx="0">
                  <c:v>Tourist Volume (in millions)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travel_dataset!$B$2:$B$6</c:f>
              <c:strCache>
                <c:ptCount val="5"/>
                <c:pt idx="0">
                  <c:v>Tokyo</c:v>
                </c:pt>
                <c:pt idx="1">
                  <c:v>Paris</c:v>
                </c:pt>
                <c:pt idx="2">
                  <c:v>New York City</c:v>
                </c:pt>
                <c:pt idx="3">
                  <c:v>Sydney</c:v>
                </c:pt>
                <c:pt idx="4">
                  <c:v>Cape Town</c:v>
                </c:pt>
              </c:strCache>
            </c:strRef>
          </c:cat>
          <c:val>
            <c:numRef>
              <c:f>travel_dataset!$J$2:$J$6</c:f>
              <c:numCache>
                <c:formatCode>0.00</c:formatCode>
                <c:ptCount val="5"/>
                <c:pt idx="0">
                  <c:v>15</c:v>
                </c:pt>
                <c:pt idx="1">
                  <c:v>17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24-0B47-BE6C-2152CA0B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7393248"/>
        <c:axId val="1743777616"/>
      </c:barChart>
      <c:catAx>
        <c:axId val="1827393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Destination Name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777616"/>
        <c:crosses val="autoZero"/>
        <c:auto val="1"/>
        <c:lblAlgn val="ctr"/>
        <c:lblOffset val="100"/>
        <c:noMultiLvlLbl val="0"/>
      </c:catAx>
      <c:valAx>
        <c:axId val="17437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Tourist</a:t>
                </a:r>
                <a:r>
                  <a:rPr lang="en-GB" b="1" baseline="0"/>
                  <a:t> Vol. Iin millions)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39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1600" b="1" i="0" u="none" strike="noStrike" baseline="0">
                <a:effectLst/>
              </a:rPr>
              <a:t>Distribution of destinations by Continent 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travel_dataset!$J$1</c:f>
              <c:strCache>
                <c:ptCount val="1"/>
                <c:pt idx="0">
                  <c:v>Tourist Volume (in millions)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travel_dataset!$D$2:$D$6</c:f>
              <c:strCache>
                <c:ptCount val="5"/>
                <c:pt idx="0">
                  <c:v>Asia</c:v>
                </c:pt>
                <c:pt idx="1">
                  <c:v>Europe</c:v>
                </c:pt>
                <c:pt idx="2">
                  <c:v>North America</c:v>
                </c:pt>
                <c:pt idx="3">
                  <c:v>Australia</c:v>
                </c:pt>
                <c:pt idx="4">
                  <c:v>Africa</c:v>
                </c:pt>
              </c:strCache>
            </c:strRef>
          </c:cat>
          <c:val>
            <c:numRef>
              <c:f>travel_dataset!$J$2:$J$6</c:f>
              <c:numCache>
                <c:formatCode>0.00</c:formatCode>
                <c:ptCount val="5"/>
                <c:pt idx="0">
                  <c:v>15</c:v>
                </c:pt>
                <c:pt idx="1">
                  <c:v>17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B-DE4D-8745-B6E5316AE49C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148167</xdr:colOff>
      <xdr:row>9</xdr:row>
      <xdr:rowOff>200024</xdr:rowOff>
    </xdr:from>
    <xdr:to>
      <xdr:col>4</xdr:col>
      <xdr:colOff>1111249</xdr:colOff>
      <xdr:row>25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C8EC57-B76A-2C06-7304-8EDF93906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1195916</xdr:colOff>
      <xdr:row>10</xdr:row>
      <xdr:rowOff>9526</xdr:rowOff>
    </xdr:from>
    <xdr:to>
      <xdr:col>7</xdr:col>
      <xdr:colOff>137582</xdr:colOff>
      <xdr:row>26</xdr:row>
      <xdr:rowOff>42333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6939E0E-FFC0-9613-A87A-5F6D48FFF2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 Thapa" refreshedDate="45517.917462384263" createdVersion="8" refreshedVersion="8" minRefreshableVersion="3" recordCount="5" xr:uid="{4D09156C-C3FA-5048-A667-DEBD1060CB55}">
  <cacheSource type="worksheet">
    <worksheetSource ref="A1:L6" sheet="travel_dataset"/>
  </cacheSource>
  <cacheFields count="11">
    <cacheField name="Destination ID" numFmtId="0">
      <sharedItems containsSemiMixedTypes="0" containsString="0" containsNumber="1" containsInteger="1" minValue="1" maxValue="5"/>
    </cacheField>
    <cacheField name="Destination Name" numFmtId="0">
      <sharedItems/>
    </cacheField>
    <cacheField name="Country" numFmtId="0">
      <sharedItems/>
    </cacheField>
    <cacheField name="Continent" numFmtId="0">
      <sharedItems count="5">
        <s v="Asia"/>
        <s v="Europe"/>
        <s v="North America"/>
        <s v="Australia"/>
        <s v="Africa"/>
      </sharedItems>
    </cacheField>
    <cacheField name="Major Attractions" numFmtId="0">
      <sharedItems/>
    </cacheField>
    <cacheField name="Average Cost (per day in USD)" numFmtId="169">
      <sharedItems containsSemiMixedTypes="0" containsString="0" containsNumber="1" containsInteger="1" minValue="120" maxValue="250"/>
    </cacheField>
    <cacheField name="Popularity Rating (out of 5)" numFmtId="0">
      <sharedItems containsSemiMixedTypes="0" containsString="0" containsNumber="1" minValue="4.4000000000000004" maxValue="4.8"/>
    </cacheField>
    <cacheField name="Best Season to Visit" numFmtId="0">
      <sharedItems/>
    </cacheField>
    <cacheField name="Tourist Volume (in millions)" numFmtId="2">
      <sharedItems containsSemiMixedTypes="0" containsString="0" containsNumber="1" containsInteger="1" minValue="5" maxValue="17"/>
    </cacheField>
    <cacheField name="Total Cost for a week" numFmtId="169">
      <sharedItems containsSemiMixedTypes="0" containsString="0" containsNumber="1" containsInteger="1" minValue="840" maxValue="1750"/>
    </cacheField>
    <cacheField name="Budget-Friendl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2"/>
    <s v="Tokyo"/>
    <s v="Japan"/>
    <x v="0"/>
    <s v="Tokyo Tower, Shibuya Crossing"/>
    <n v="200"/>
    <n v="4.8"/>
    <s v="Spring"/>
    <n v="15"/>
    <n v="1400"/>
    <s v="No"/>
  </r>
  <r>
    <n v="1"/>
    <s v="Paris"/>
    <s v="France"/>
    <x v="1"/>
    <s v="Eiffel Tower, Louvre Museum"/>
    <n v="150"/>
    <n v="4.7"/>
    <s v="Spring"/>
    <n v="17"/>
    <n v="1050"/>
    <s v="No"/>
  </r>
  <r>
    <n v="3"/>
    <s v="New York City"/>
    <s v="USA"/>
    <x v="2"/>
    <s v="Statue of Liberty, Central Park, Broadway shows"/>
    <n v="250"/>
    <n v="4.5999999999999996"/>
    <s v="Fall"/>
    <n v="13"/>
    <n v="1750"/>
    <s v="No"/>
  </r>
  <r>
    <n v="4"/>
    <s v="Sydney"/>
    <s v="Australia"/>
    <x v="3"/>
    <s v="Sydney Opera House, Bondi Beach"/>
    <n v="180"/>
    <n v="4.5"/>
    <s v="Summer"/>
    <n v="9"/>
    <n v="1260"/>
    <s v="No"/>
  </r>
  <r>
    <n v="5"/>
    <s v="Cape Town"/>
    <s v="South Africa"/>
    <x v="4"/>
    <s v="Table Mountain, Robben Island"/>
    <n v="120"/>
    <n v="4.4000000000000004"/>
    <s v="Summer"/>
    <n v="5"/>
    <n v="840"/>
    <s v="Y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F1DEF-18AF-F14A-A7F3-B98EBAD4BB9A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ntinents">
  <location ref="A3:C9" firstHeaderRow="0" firstDataRow="1" firstDataCol="1"/>
  <pivotFields count="11">
    <pivotField showAll="0"/>
    <pivotField showAll="0"/>
    <pivotField showAll="0"/>
    <pivotField axis="axisRow" showAll="0">
      <items count="6">
        <item x="4"/>
        <item x="0"/>
        <item x="3"/>
        <item x="1"/>
        <item x="2"/>
        <item t="default"/>
      </items>
    </pivotField>
    <pivotField showAll="0"/>
    <pivotField dataField="1" numFmtId="169" showAll="0"/>
    <pivotField showAll="0"/>
    <pivotField showAll="0"/>
    <pivotField dataField="1" numFmtId="2" showAll="0"/>
    <pivotField numFmtId="169"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Tourist Volume (in millions)" fld="8" subtotal="average" baseField="0" baseItem="0"/>
    <dataField name="Average of Average Cost (per day in USD)" fld="5" subtotal="average" baseField="0" baseItem="0"/>
  </dataFields>
  <pivotTableStyleInfo name="PivotStyleLight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E20B5-76F7-C940-A7AA-F64F61E89BB7}">
  <dimension ref="A3:C9"/>
  <sheetViews>
    <sheetView workbookViewId="0">
      <selection activeCell="B3" sqref="B3"/>
    </sheetView>
  </sheetViews>
  <sheetFormatPr baseColWidth="10" defaultRowHeight="16" x14ac:dyDescent="0.2"/>
  <cols>
    <col min="1" max="1" width="23.6640625" customWidth="1"/>
    <col min="2" max="2" width="33.33203125" bestFit="1" customWidth="1"/>
    <col min="3" max="3" width="35" bestFit="1" customWidth="1"/>
  </cols>
  <sheetData>
    <row r="3" spans="1:3" x14ac:dyDescent="0.2">
      <c r="A3" s="27" t="s">
        <v>41</v>
      </c>
      <c r="B3" t="s">
        <v>40</v>
      </c>
      <c r="C3" t="s">
        <v>39</v>
      </c>
    </row>
    <row r="4" spans="1:3" x14ac:dyDescent="0.2">
      <c r="A4" s="28" t="s">
        <v>28</v>
      </c>
      <c r="B4" s="29">
        <v>5</v>
      </c>
      <c r="C4" s="29">
        <v>120</v>
      </c>
    </row>
    <row r="5" spans="1:3" x14ac:dyDescent="0.2">
      <c r="A5" s="28" t="s">
        <v>16</v>
      </c>
      <c r="B5" s="29">
        <v>15</v>
      </c>
      <c r="C5" s="29">
        <v>200</v>
      </c>
    </row>
    <row r="6" spans="1:3" x14ac:dyDescent="0.2">
      <c r="A6" s="28" t="s">
        <v>23</v>
      </c>
      <c r="B6" s="29">
        <v>9</v>
      </c>
      <c r="C6" s="29">
        <v>180</v>
      </c>
    </row>
    <row r="7" spans="1:3" x14ac:dyDescent="0.2">
      <c r="A7" s="28" t="s">
        <v>11</v>
      </c>
      <c r="B7" s="29">
        <v>17</v>
      </c>
      <c r="C7" s="29">
        <v>150</v>
      </c>
    </row>
    <row r="8" spans="1:3" x14ac:dyDescent="0.2">
      <c r="A8" s="28" t="s">
        <v>20</v>
      </c>
      <c r="B8" s="29">
        <v>13</v>
      </c>
      <c r="C8" s="29">
        <v>250</v>
      </c>
    </row>
    <row r="9" spans="1:3" x14ac:dyDescent="0.2">
      <c r="A9" s="28" t="s">
        <v>38</v>
      </c>
      <c r="B9" s="29">
        <v>11.8</v>
      </c>
      <c r="C9" s="29">
        <v>180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D2F11-90D1-7F4F-8704-DF3C919EFD60}">
  <sheetPr codeName="Sheet1" filterMode="1"/>
  <dimension ref="A1:L19"/>
  <sheetViews>
    <sheetView tabSelected="1" zoomScale="120" zoomScaleNormal="120" workbookViewId="0">
      <selection activeCell="E10" sqref="E9:E10"/>
    </sheetView>
  </sheetViews>
  <sheetFormatPr baseColWidth="10" defaultRowHeight="16" x14ac:dyDescent="0.2"/>
  <cols>
    <col min="1" max="1" width="13" style="4" bestFit="1" customWidth="1"/>
    <col min="2" max="2" width="16.33203125" style="4" bestFit="1" customWidth="1"/>
    <col min="3" max="3" width="10.83203125" style="4"/>
    <col min="4" max="4" width="12.83203125" style="4" bestFit="1" customWidth="1"/>
    <col min="5" max="5" width="40" style="4" bestFit="1" customWidth="1"/>
    <col min="6" max="6" width="25.6640625" style="4" bestFit="1" customWidth="1"/>
    <col min="7" max="7" width="23.1640625" style="4" bestFit="1" customWidth="1"/>
    <col min="8" max="8" width="17.6640625" style="4" bestFit="1" customWidth="1"/>
    <col min="9" max="9" width="18.83203125" style="4" customWidth="1"/>
    <col min="10" max="10" width="28.5" style="4" customWidth="1"/>
    <col min="11" max="11" width="33.33203125" style="4" bestFit="1" customWidth="1"/>
    <col min="12" max="12" width="22.83203125" style="4" bestFit="1" customWidth="1"/>
    <col min="13" max="16384" width="10.83203125" style="4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4" t="s">
        <v>5</v>
      </c>
      <c r="G1" s="1" t="s">
        <v>6</v>
      </c>
      <c r="H1" s="1" t="s">
        <v>7</v>
      </c>
      <c r="I1" s="1" t="s">
        <v>42</v>
      </c>
      <c r="J1" s="2" t="s">
        <v>8</v>
      </c>
      <c r="K1" s="17" t="s">
        <v>30</v>
      </c>
      <c r="L1" s="3" t="s">
        <v>31</v>
      </c>
    </row>
    <row r="2" spans="1:12" x14ac:dyDescent="0.2">
      <c r="A2" s="5">
        <v>2</v>
      </c>
      <c r="B2" s="5" t="s">
        <v>14</v>
      </c>
      <c r="C2" s="5" t="s">
        <v>15</v>
      </c>
      <c r="D2" s="5" t="s">
        <v>16</v>
      </c>
      <c r="E2" s="5" t="s">
        <v>17</v>
      </c>
      <c r="F2" s="15">
        <v>200</v>
      </c>
      <c r="G2" s="5">
        <v>4.8</v>
      </c>
      <c r="H2" s="5" t="s">
        <v>13</v>
      </c>
      <c r="I2" s="5" t="str" cm="1">
        <f t="array" ref="I2">_xlfn.SWITCH(H2, "Summer","Warm", "Spring","Warm", "Fall","Mild", "Winter","Cold", "Varied")</f>
        <v>Warm</v>
      </c>
      <c r="J2" s="6">
        <v>15</v>
      </c>
      <c r="K2" s="15">
        <f>F2*7</f>
        <v>1400</v>
      </c>
      <c r="L2" s="5" t="str">
        <f>IF(K2&lt;1000, "Yes", "No")</f>
        <v>No</v>
      </c>
    </row>
    <row r="3" spans="1:12" x14ac:dyDescent="0.2">
      <c r="A3" s="5">
        <v>1</v>
      </c>
      <c r="B3" s="5" t="s">
        <v>9</v>
      </c>
      <c r="C3" s="5" t="s">
        <v>10</v>
      </c>
      <c r="D3" s="5" t="s">
        <v>11</v>
      </c>
      <c r="E3" s="5" t="s">
        <v>12</v>
      </c>
      <c r="F3" s="15">
        <v>150</v>
      </c>
      <c r="G3" s="5">
        <v>4.7</v>
      </c>
      <c r="H3" s="5" t="s">
        <v>13</v>
      </c>
      <c r="I3" s="5" t="str" cm="1">
        <f t="array" ref="I3">_xlfn.SWITCH(H3, "Summer","Warm", "Spring","Warm", "Fall","Mild", "Winter","Cold", "Varied")</f>
        <v>Warm</v>
      </c>
      <c r="J3" s="6">
        <v>17</v>
      </c>
      <c r="K3" s="15">
        <f>F3*7</f>
        <v>1050</v>
      </c>
      <c r="L3" s="5" t="str">
        <f>IF(K3&lt;1000, "Yes", "No")</f>
        <v>No</v>
      </c>
    </row>
    <row r="4" spans="1:12" x14ac:dyDescent="0.2">
      <c r="A4" s="5">
        <v>3</v>
      </c>
      <c r="B4" s="5" t="s">
        <v>18</v>
      </c>
      <c r="C4" s="5" t="s">
        <v>19</v>
      </c>
      <c r="D4" s="5" t="s">
        <v>20</v>
      </c>
      <c r="E4" s="5" t="s">
        <v>34</v>
      </c>
      <c r="F4" s="15">
        <v>250</v>
      </c>
      <c r="G4" s="5">
        <v>4.5999999999999996</v>
      </c>
      <c r="H4" s="5" t="s">
        <v>21</v>
      </c>
      <c r="I4" s="5" t="str" cm="1">
        <f t="array" ref="I4">_xlfn.SWITCH(H4, "Summer","Warm", "Spring","Warm", "Fall","Mild", "Winter","Cold", "Varied")</f>
        <v>Mild</v>
      </c>
      <c r="J4" s="6">
        <v>13</v>
      </c>
      <c r="K4" s="15">
        <f>F4*7</f>
        <v>1750</v>
      </c>
      <c r="L4" s="5" t="str">
        <f>IF(K4&lt;1000, "Yes", "No")</f>
        <v>No</v>
      </c>
    </row>
    <row r="5" spans="1:12" x14ac:dyDescent="0.2">
      <c r="A5" s="5">
        <v>4</v>
      </c>
      <c r="B5" s="5" t="s">
        <v>22</v>
      </c>
      <c r="C5" s="5" t="s">
        <v>23</v>
      </c>
      <c r="D5" s="5" t="s">
        <v>23</v>
      </c>
      <c r="E5" s="5" t="s">
        <v>24</v>
      </c>
      <c r="F5" s="15">
        <v>180</v>
      </c>
      <c r="G5" s="7">
        <v>4.5</v>
      </c>
      <c r="H5" s="5" t="s">
        <v>25</v>
      </c>
      <c r="I5" s="5" t="str" cm="1">
        <f t="array" ref="I5">_xlfn.SWITCH(H5, "Summer","Warm", "Spring","Warm", "Fall","Mild", "Winter","Cold", "Varied")</f>
        <v>Warm</v>
      </c>
      <c r="J5" s="6">
        <v>9</v>
      </c>
      <c r="K5" s="15">
        <f>F5*7</f>
        <v>1260</v>
      </c>
      <c r="L5" s="5" t="str">
        <f>IF(K5&lt;1000, "Yes", "No")</f>
        <v>No</v>
      </c>
    </row>
    <row r="6" spans="1:12" ht="17" thickBot="1" x14ac:dyDescent="0.25">
      <c r="A6" s="5">
        <v>5</v>
      </c>
      <c r="B6" s="5" t="s">
        <v>26</v>
      </c>
      <c r="C6" s="5" t="s">
        <v>27</v>
      </c>
      <c r="D6" s="5" t="s">
        <v>28</v>
      </c>
      <c r="E6" s="5" t="s">
        <v>29</v>
      </c>
      <c r="F6" s="16">
        <v>120</v>
      </c>
      <c r="G6" s="5">
        <v>4.4000000000000004</v>
      </c>
      <c r="H6" s="30" t="s">
        <v>25</v>
      </c>
      <c r="I6" s="5" t="str" cm="1">
        <f t="array" ref="I6">_xlfn.SWITCH(H6, "Summer","Warm", "Spring","Warm", "Fall","Mild", "Winter","Cold", "Varied")</f>
        <v>Warm</v>
      </c>
      <c r="J6" s="31">
        <v>5</v>
      </c>
      <c r="K6" s="15">
        <f>F6*7</f>
        <v>840</v>
      </c>
      <c r="L6" s="5" t="str">
        <f>IF(K6&lt;1000, "Yes", "No")</f>
        <v>Yes</v>
      </c>
    </row>
    <row r="7" spans="1:12" ht="17" thickBot="1" x14ac:dyDescent="0.25">
      <c r="A7" s="8"/>
      <c r="B7" s="8"/>
      <c r="C7" s="8"/>
      <c r="D7" s="8"/>
      <c r="E7" s="8"/>
      <c r="F7" s="8"/>
      <c r="G7" s="9">
        <f>AVERAGE(G1:G6)</f>
        <v>4.5999999999999996</v>
      </c>
      <c r="H7" s="8"/>
      <c r="I7" s="8"/>
      <c r="J7" s="10">
        <f>SUM(J2:J6)</f>
        <v>59</v>
      </c>
      <c r="K7" s="8"/>
      <c r="L7" s="8"/>
    </row>
    <row r="8" spans="1:12" x14ac:dyDescent="0.2">
      <c r="A8" s="8"/>
      <c r="B8" s="8"/>
      <c r="C8" s="8"/>
      <c r="D8" s="8"/>
      <c r="E8" s="8"/>
      <c r="F8" s="8"/>
      <c r="G8" s="11" t="s">
        <v>32</v>
      </c>
      <c r="H8" s="8"/>
      <c r="I8" s="8"/>
      <c r="J8" s="11" t="s">
        <v>33</v>
      </c>
      <c r="K8" s="8"/>
      <c r="L8" s="8"/>
    </row>
    <row r="11" spans="1:12" ht="25" x14ac:dyDescent="0.2">
      <c r="J11" s="12" t="s">
        <v>35</v>
      </c>
    </row>
    <row r="12" spans="1:12" ht="17" thickBot="1" x14ac:dyDescent="0.25">
      <c r="J12" s="13" t="s">
        <v>36</v>
      </c>
    </row>
    <row r="13" spans="1:12" x14ac:dyDescent="0.2">
      <c r="J13" s="22" t="s">
        <v>1</v>
      </c>
      <c r="K13" s="23" t="s">
        <v>5</v>
      </c>
      <c r="L13" s="24" t="s">
        <v>37</v>
      </c>
    </row>
    <row r="14" spans="1:12" ht="17" thickBot="1" x14ac:dyDescent="0.25">
      <c r="J14" s="20" t="s">
        <v>14</v>
      </c>
      <c r="K14" s="25">
        <v>150</v>
      </c>
      <c r="L14" s="26">
        <f>K14*10</f>
        <v>1500</v>
      </c>
    </row>
    <row r="17" spans="10:11" ht="17" thickBot="1" x14ac:dyDescent="0.25"/>
    <row r="18" spans="10:11" x14ac:dyDescent="0.2">
      <c r="J18" s="18" t="s">
        <v>1</v>
      </c>
      <c r="K18" s="19" t="s">
        <v>7</v>
      </c>
    </row>
    <row r="19" spans="10:11" ht="17" thickBot="1" x14ac:dyDescent="0.25">
      <c r="J19" s="20" t="s">
        <v>22</v>
      </c>
      <c r="K19" s="21" t="str">
        <f>VLOOKUP(J19,B1:H6,7,FALSE)</f>
        <v>Summer</v>
      </c>
    </row>
  </sheetData>
  <autoFilter ref="A1:L8" xr:uid="{357D2F11-90D1-7F4F-8704-DF3C919EFD60}">
    <filterColumn colId="6">
      <filters>
        <filter val="4.4"/>
        <filter val="4.5"/>
        <filter val="4.6"/>
        <filter val="4.7"/>
        <filter val="4.8"/>
      </filters>
    </filterColumn>
    <sortState xmlns:xlrd2="http://schemas.microsoft.com/office/spreadsheetml/2017/richdata2" ref="A2:L7">
      <sortCondition descending="1" ref="G1:G8"/>
    </sortState>
  </autoFilter>
  <conditionalFormatting sqref="G5">
    <cfRule type="cellIs" dxfId="2" priority="2" operator="greaterThan">
      <formula>4.5</formula>
    </cfRule>
  </conditionalFormatting>
  <conditionalFormatting sqref="G2:G6">
    <cfRule type="cellIs" dxfId="0" priority="1" operator="greaterThanOrEqual">
      <formula>4.5</formula>
    </cfRule>
  </conditionalFormatting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travel_dataset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Thapa</dc:creator>
  <cp:lastModifiedBy>Ayush Thapa</cp:lastModifiedBy>
  <dcterms:created xsi:type="dcterms:W3CDTF">2024-08-13T20:10:51Z</dcterms:created>
  <dcterms:modified xsi:type="dcterms:W3CDTF">2024-08-13T21:12:40Z</dcterms:modified>
</cp:coreProperties>
</file>